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pet-my.sharepoint.com/personal/alosaink_mopm_gov_sa/Documents/Documents/dashboard v2/latest ver/mosques-dashboard.v2/mosques/"/>
    </mc:Choice>
  </mc:AlternateContent>
  <xr:revisionPtr revIDLastSave="9" documentId="11_97650A953ABD3C007C8414860ED8FB94C7D828C3" xr6:coauthVersionLast="47" xr6:coauthVersionMax="47" xr10:uidLastSave="{C0BF9983-26C1-4E1D-8879-787FDA7CE040}"/>
  <bookViews>
    <workbookView xWindow="-108" yWindow="-108" windowWidth="23256" windowHeight="12456" activeTab="2" xr2:uid="{00000000-000D-0000-FFFF-FFFF00000000}"/>
  </bookViews>
  <sheets>
    <sheet name="الرياض" sheetId="1" r:id="rId1"/>
    <sheet name="جنوب الرياض" sheetId="2" r:id="rId2"/>
    <sheet name="شمال الرياض" sheetId="3" r:id="rId3"/>
    <sheet name="غرب الرياض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6" i="4" l="1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<sst xmlns="http://schemas.openxmlformats.org/spreadsheetml/2006/main" count="10360" uniqueCount="4454">
  <si>
    <t>اسم المسجد</t>
  </si>
  <si>
    <t>رقم العداد</t>
  </si>
  <si>
    <t>المحافظة</t>
  </si>
  <si>
    <t>الفترة صباحا/مساءا</t>
  </si>
  <si>
    <t>قيمة الفاتورة الإجمالي</t>
  </si>
  <si>
    <t>مخالف سابقا</t>
  </si>
  <si>
    <t>الموقع</t>
  </si>
  <si>
    <t>مسجد  الملك عبدالله بن عبدالعزيز ال سعود .</t>
  </si>
  <si>
    <t>KFM2020560002341</t>
  </si>
  <si>
    <t>الرياض</t>
  </si>
  <si>
    <t>كلا الفترتين</t>
  </si>
  <si>
    <t>مسجد الامام تركي بـــنعبدالله .</t>
  </si>
  <si>
    <t>KFM2020560000132</t>
  </si>
  <si>
    <t xml:space="preserve">   مسجد جامع سليمان عبدالعزيز الراج .</t>
  </si>
  <si>
    <t>KFM2020560002295</t>
  </si>
  <si>
    <t>مسجدالشيخ  محمد بن ابراهيم .</t>
  </si>
  <si>
    <t>KFM2020660177136</t>
  </si>
  <si>
    <t xml:space="preserve">   مسجدالملك خالدبن عبدالعزيز .</t>
  </si>
  <si>
    <t>KFM2120660272398</t>
  </si>
  <si>
    <t>مساجد .</t>
  </si>
  <si>
    <t>KFM2020660049915</t>
  </si>
  <si>
    <t xml:space="preserve">   مسجد      الشئون    والاوقاف .</t>
  </si>
  <si>
    <t>KFM2020660201442</t>
  </si>
  <si>
    <t xml:space="preserve">   جامع الملك فهد بن عبدالعزيز .</t>
  </si>
  <si>
    <t>KFM2120660300949</t>
  </si>
  <si>
    <t>KFM2020660053662</t>
  </si>
  <si>
    <t>KFM2120660272401</t>
  </si>
  <si>
    <t>ﻤﺴﺎﺠﺩ .</t>
  </si>
  <si>
    <t>KFM2020660197195</t>
  </si>
  <si>
    <t>مسجد جامع  الدخل  المحدود .</t>
  </si>
  <si>
    <t>KFM2020660164488</t>
  </si>
  <si>
    <t xml:space="preserve">   الحرس  الوطني مسجد عثمان بن عفان .</t>
  </si>
  <si>
    <t>KFM2020660193591</t>
  </si>
  <si>
    <t>KFM2120660264382</t>
  </si>
  <si>
    <t xml:space="preserve">   المدينه الطبيه / مسجد .</t>
  </si>
  <si>
    <t>KFM2020660193672</t>
  </si>
  <si>
    <t>KFM2020660172269</t>
  </si>
  <si>
    <t>KFM2020660019980</t>
  </si>
  <si>
    <t>SMR2220661001721</t>
  </si>
  <si>
    <t>مسجد/محمدعبدالعزيزالراجحى ومرافقة .</t>
  </si>
  <si>
    <t>KFM2020660051622</t>
  </si>
  <si>
    <t>مسجد حي طويق .</t>
  </si>
  <si>
    <t>KFM2020660173463</t>
  </si>
  <si>
    <t xml:space="preserve">   مسجد حى المروج .</t>
  </si>
  <si>
    <t>KFM2020660173656</t>
  </si>
  <si>
    <t>جامع الامير طلا ل بن فهد بن محمد .</t>
  </si>
  <si>
    <t>KFM2020660191332</t>
  </si>
  <si>
    <t xml:space="preserve">   جامع خادم الحرمين الشريفين/فروسي .</t>
  </si>
  <si>
    <t>KFM2120660279587</t>
  </si>
  <si>
    <t xml:space="preserve">   مسجد  السعود .</t>
  </si>
  <si>
    <t>KFM2120660239379</t>
  </si>
  <si>
    <t>مسجدالاميره  /هيابنت  عبدالعزيزال  سعود .</t>
  </si>
  <si>
    <t>KFM2020660199060</t>
  </si>
  <si>
    <t>KFM2020660145886</t>
  </si>
  <si>
    <t xml:space="preserve">   مسجد جامع حلة العنوز .</t>
  </si>
  <si>
    <t>KFM2120660301941</t>
  </si>
  <si>
    <t xml:space="preserve">   مسجد الخضير .</t>
  </si>
  <si>
    <t>KFM2020660195200</t>
  </si>
  <si>
    <t xml:space="preserve">   مسجد العواد .</t>
  </si>
  <si>
    <t>KFM2020660193557</t>
  </si>
  <si>
    <t>KFM2120660260234</t>
  </si>
  <si>
    <t>KFM2020660209284</t>
  </si>
  <si>
    <t>مسجد/الامير سعد بن محمد ال  سعود .</t>
  </si>
  <si>
    <t>SMR2320661021344</t>
  </si>
  <si>
    <t xml:space="preserve">   مسجد/الاميرطلال بن عبدالعزيز .</t>
  </si>
  <si>
    <t>KFM2120660262195</t>
  </si>
  <si>
    <t>KFM2020660027400</t>
  </si>
  <si>
    <t xml:space="preserve">   مسجد اشبيليه .</t>
  </si>
  <si>
    <t>KFM2020660040631</t>
  </si>
  <si>
    <t>KFM2020660232973</t>
  </si>
  <si>
    <t xml:space="preserve">   مسجد عبدالمحسن سعد سعيد .</t>
  </si>
  <si>
    <t>KFM2120660302341</t>
  </si>
  <si>
    <t>الدرعية</t>
  </si>
  <si>
    <t>4  مسجد العريجاء بلك .</t>
  </si>
  <si>
    <t>KFM2020660203439</t>
  </si>
  <si>
    <t xml:space="preserve">   مسجد والدة عبدالعزيز بن سليم .</t>
  </si>
  <si>
    <t>KFM2020660135549</t>
  </si>
  <si>
    <t>مسجد جامع الملك  عبدالعزيز .</t>
  </si>
  <si>
    <t>KFM2020660051599</t>
  </si>
  <si>
    <t xml:space="preserve">   جامع الملز الثانى .</t>
  </si>
  <si>
    <t>KFM2120660283305</t>
  </si>
  <si>
    <t>KFM2120660302798</t>
  </si>
  <si>
    <t>KFM2020660207557</t>
  </si>
  <si>
    <t xml:space="preserve">   مسجد الشيخ عبدالعزيز بن باز .</t>
  </si>
  <si>
    <t>KFM2020660232954</t>
  </si>
  <si>
    <t xml:space="preserve">   جامع المحارب .</t>
  </si>
  <si>
    <t>KFM2020660209212</t>
  </si>
  <si>
    <t>KFM2120660255402</t>
  </si>
  <si>
    <t xml:space="preserve">   جامع الاماممحمدبن    عبدالوهاب .</t>
  </si>
  <si>
    <t>KFM2020560001936</t>
  </si>
  <si>
    <t xml:space="preserve">   مسجدعبدالعزيزالتويجري .</t>
  </si>
  <si>
    <t>KFM2120660257932</t>
  </si>
  <si>
    <t>SMR2420661035788</t>
  </si>
  <si>
    <t>مسجد والدة  /عبدالله  بن عبدالرحمن .</t>
  </si>
  <si>
    <t>KFM2020660051431</t>
  </si>
  <si>
    <t>KFM2120660256039</t>
  </si>
  <si>
    <t xml:space="preserve">   مسجد مكتب الدعوةوالارشاد والمكتب .</t>
  </si>
  <si>
    <t>KFM2120660303877</t>
  </si>
  <si>
    <t xml:space="preserve">   مسجدمحمديوسف المصري .</t>
  </si>
  <si>
    <t>KFM2020660049068</t>
  </si>
  <si>
    <t>مسجد صالح  الصانع .</t>
  </si>
  <si>
    <t>KFM2020660200899</t>
  </si>
  <si>
    <t>KFM2120660304637</t>
  </si>
  <si>
    <t xml:space="preserve">   مسجد      أحمد      الدهش .</t>
  </si>
  <si>
    <t>KFM2020660193681</t>
  </si>
  <si>
    <t xml:space="preserve">   مسجد عمر بن الخطاب .</t>
  </si>
  <si>
    <t>KFM2020660193535</t>
  </si>
  <si>
    <t xml:space="preserve">   مسجد شمال سوق الخضار .</t>
  </si>
  <si>
    <t>KFM2020660195199</t>
  </si>
  <si>
    <t xml:space="preserve">   جامع نورة بنت عبدالعزيزالحقباني .</t>
  </si>
  <si>
    <t>KFM2020660192983</t>
  </si>
  <si>
    <t xml:space="preserve">   مسجد الاميره حصة بنت عبدالعزيز .</t>
  </si>
  <si>
    <t>KFM2020660174485</t>
  </si>
  <si>
    <t>KFM2020660202794</t>
  </si>
  <si>
    <t>مسجد الامير هذلول  بن سعود .</t>
  </si>
  <si>
    <t>KFM2020660098883</t>
  </si>
  <si>
    <t>KFM2120660255564</t>
  </si>
  <si>
    <t xml:space="preserve">     مسجد الناصر .</t>
  </si>
  <si>
    <t>KFM2020660171416</t>
  </si>
  <si>
    <t xml:space="preserve">   مسجد وسكن الشيخ محمد القاسم .</t>
  </si>
  <si>
    <t>KFM2020660174333</t>
  </si>
  <si>
    <t xml:space="preserve">   مسجدالمجمع السكنى بالملز .</t>
  </si>
  <si>
    <t>KFM2120660299699</t>
  </si>
  <si>
    <t>, مسجد      ناصر عبيد .</t>
  </si>
  <si>
    <t>KFM2020660057815</t>
  </si>
  <si>
    <t xml:space="preserve">   وزارةالشؤن الاسلاميه مسجدالنخيل غ .</t>
  </si>
  <si>
    <t>KFM2020660197521</t>
  </si>
  <si>
    <t xml:space="preserve">   جامع الأمير سلطان بن فهد .</t>
  </si>
  <si>
    <t>KFM2020660195139</t>
  </si>
  <si>
    <t xml:space="preserve">   مسجد معاذ بن جبل .</t>
  </si>
  <si>
    <t>KFM2120660256844</t>
  </si>
  <si>
    <t xml:space="preserve">   وزارة     الشون     . .</t>
  </si>
  <si>
    <t>KFM2020660213089</t>
  </si>
  <si>
    <t xml:space="preserve">   مسجد / الحرس الوطني .</t>
  </si>
  <si>
    <t>KFM2120655003281</t>
  </si>
  <si>
    <t xml:space="preserve">   مسجد حى المنصورة .</t>
  </si>
  <si>
    <t>KFM2120660299174</t>
  </si>
  <si>
    <t>KFM2020660104259</t>
  </si>
  <si>
    <t>SMR2220661002529</t>
  </si>
  <si>
    <t xml:space="preserve">   مسجد الامام البخاري .</t>
  </si>
  <si>
    <t>KFM2020660139820</t>
  </si>
  <si>
    <t xml:space="preserve">   جامع      فهد       الهريش .</t>
  </si>
  <si>
    <t>KFM2020660190244</t>
  </si>
  <si>
    <t xml:space="preserve"> وزارةالشئون الاسلاميةجامع ناصر الطيار .</t>
  </si>
  <si>
    <t>KFM2120660257432</t>
  </si>
  <si>
    <t xml:space="preserve">   مسجد  الا مير خالد بن مساعد .</t>
  </si>
  <si>
    <t>KFM2020660174421</t>
  </si>
  <si>
    <t>KFM2120660257373</t>
  </si>
  <si>
    <t xml:space="preserve">   جامع الاميرفيصل بن فهد .</t>
  </si>
  <si>
    <t>KFM2020660173351</t>
  </si>
  <si>
    <t>مسجد المصمك .</t>
  </si>
  <si>
    <t>KFM2020660044537</t>
  </si>
  <si>
    <t xml:space="preserve">   مسجد /الشيخ عبدالله الهويش .</t>
  </si>
  <si>
    <t>KFM2120660279591</t>
  </si>
  <si>
    <t>مساءا</t>
  </si>
  <si>
    <t xml:space="preserve">   مسجد حى خنشليله .</t>
  </si>
  <si>
    <t>KFM2120660253473</t>
  </si>
  <si>
    <t xml:space="preserve">   مسجد      كتاب      العتيبي .</t>
  </si>
  <si>
    <t>KFM2020660053595</t>
  </si>
  <si>
    <t>ﻭﺯﺍﺭﺓﺍﻟﺸﺌﻭﻥ ﺍﻻﺴﻼﻤﻴﺓﻭﺍﻻﻭﻗﺎﻑ .</t>
  </si>
  <si>
    <t>KFM2020660173546</t>
  </si>
  <si>
    <t xml:space="preserve"> مسجدالجبل  جامع الحقباني .</t>
  </si>
  <si>
    <t>KFM2020660203970</t>
  </si>
  <si>
    <t>KFM2120660255395</t>
  </si>
  <si>
    <t>KFM2020660201690</t>
  </si>
  <si>
    <t xml:space="preserve">   مسجد عبدالله حذافة السهمي .</t>
  </si>
  <si>
    <t>KFM2020660057260</t>
  </si>
  <si>
    <t>جامع الشويعر .</t>
  </si>
  <si>
    <t>KFM2020660104875</t>
  </si>
  <si>
    <t>KFM2120660256969</t>
  </si>
  <si>
    <t xml:space="preserve">   مسجد حى الضباط .</t>
  </si>
  <si>
    <t>KFM2120660286028</t>
  </si>
  <si>
    <t xml:space="preserve">   مسجد جامع الملك خالد .</t>
  </si>
  <si>
    <t>KFM2020760028034</t>
  </si>
  <si>
    <t xml:space="preserve">   مسجد      سلمه      ابن الآ كوع .</t>
  </si>
  <si>
    <t>KFM2020660175379</t>
  </si>
  <si>
    <t xml:space="preserve">   مسجدالاميرفيصل بن سعدالواقع المرب .</t>
  </si>
  <si>
    <t>KFM2120660257895</t>
  </si>
  <si>
    <t xml:space="preserve">   مسجد الصديق .</t>
  </si>
  <si>
    <t>KFM2020660129800</t>
  </si>
  <si>
    <t xml:space="preserve">   مسجد/حمد   محمد     بن سعيدان .</t>
  </si>
  <si>
    <t>KFM2020660174120</t>
  </si>
  <si>
    <t>مسجد .</t>
  </si>
  <si>
    <t>KFM2120660304945</t>
  </si>
  <si>
    <t xml:space="preserve">   مسجدسموالاميرعبدالرحمن عبدالله ال .</t>
  </si>
  <si>
    <t>KFM2120660300814</t>
  </si>
  <si>
    <t xml:space="preserve">   جامع عبدالله ابراهيم الهداب .</t>
  </si>
  <si>
    <t>KFM2020660208622</t>
  </si>
  <si>
    <t xml:space="preserve">   مسجد رقم 5 .</t>
  </si>
  <si>
    <t>KFM2120660260336</t>
  </si>
  <si>
    <t xml:space="preserve">   مسجدمحمدصالح اللحيدان .</t>
  </si>
  <si>
    <t>KFM2020660213020</t>
  </si>
  <si>
    <t>مدرسة خولة بنت حكيم لتحفيظ القرآن .</t>
  </si>
  <si>
    <t>KFM2120660300550</t>
  </si>
  <si>
    <t xml:space="preserve">   مساجد .</t>
  </si>
  <si>
    <t>KFM2020660038815</t>
  </si>
  <si>
    <t>KFM2020660192256</t>
  </si>
  <si>
    <t xml:space="preserve">  مسجد جمعيه البر الخيريه باالدرعيه .</t>
  </si>
  <si>
    <t>KFM2120660270649</t>
  </si>
  <si>
    <t>مسجد القحطانى .</t>
  </si>
  <si>
    <t>KFM2020660015391</t>
  </si>
  <si>
    <t xml:space="preserve">   مسجد      منيرة     . .</t>
  </si>
  <si>
    <t>KFM2020660191224</t>
  </si>
  <si>
    <t xml:space="preserve">   جامع الامير سلطان بن عبدالعزيز .</t>
  </si>
  <si>
    <t>KFM2120660286809</t>
  </si>
  <si>
    <t xml:space="preserve">   مسجد بن خميس .</t>
  </si>
  <si>
    <t>KFM2120660281691</t>
  </si>
  <si>
    <t xml:space="preserve">   مسجد وسكن فهد الفهيد .</t>
  </si>
  <si>
    <t>KFM2020660174441</t>
  </si>
  <si>
    <t xml:space="preserve">   مسجد والدة الأمير تركي .</t>
  </si>
  <si>
    <t>KFM2020660018693</t>
  </si>
  <si>
    <t xml:space="preserve">   مسجد أبوهريره .</t>
  </si>
  <si>
    <t>KFM2020660056733</t>
  </si>
  <si>
    <t xml:space="preserve">   مسجد عبدالرحمن بن ثنيان العبيكان .</t>
  </si>
  <si>
    <t>KFM2020660197463</t>
  </si>
  <si>
    <t>مسجد / محمد ابوشنق .</t>
  </si>
  <si>
    <t>KFM2020660013836</t>
  </si>
  <si>
    <t>مسجد حي الرفيعه .</t>
  </si>
  <si>
    <t>KFM2120660304421</t>
  </si>
  <si>
    <t xml:space="preserve">   مسجدمحمدوعبدالرحمن السعدالبواردي .</t>
  </si>
  <si>
    <t>KFM2120660299310</t>
  </si>
  <si>
    <t xml:space="preserve">   مسجدصالح القفاري .</t>
  </si>
  <si>
    <t>KFM2020660193721</t>
  </si>
  <si>
    <t xml:space="preserve">   مسجد الفلاح .</t>
  </si>
  <si>
    <t>KFM2020660171473</t>
  </si>
  <si>
    <t>KFM2120660300948</t>
  </si>
  <si>
    <t xml:space="preserve">   مسجد حي الملك فيصل .</t>
  </si>
  <si>
    <t>KFM2120660256145</t>
  </si>
  <si>
    <t>KFM2020660061118</t>
  </si>
  <si>
    <t xml:space="preserve">   مسجد حي النهضه .</t>
  </si>
  <si>
    <t>KFM2020660012512</t>
  </si>
  <si>
    <t xml:space="preserve">   جامع سيد الشهداء .</t>
  </si>
  <si>
    <t>KFM2020660193461</t>
  </si>
  <si>
    <t>KFM2020660052559</t>
  </si>
  <si>
    <t xml:space="preserve">   مسجدالتعاون وسكن الامام والمؤذن .</t>
  </si>
  <si>
    <t>KFM2020660173879</t>
  </si>
  <si>
    <t xml:space="preserve">   مسجد المفدى .</t>
  </si>
  <si>
    <t>KFM2120660240857</t>
  </si>
  <si>
    <t>KFM2020660187990</t>
  </si>
  <si>
    <t>KFM2020660026981</t>
  </si>
  <si>
    <t>مسجد جامع  حله  بن دايل .</t>
  </si>
  <si>
    <t>KFM2020660196868</t>
  </si>
  <si>
    <t>.   مسجد      الراجحي .</t>
  </si>
  <si>
    <t>KFM2020660191142</t>
  </si>
  <si>
    <t xml:space="preserve">   مسجدحى الفلاح .</t>
  </si>
  <si>
    <t>KFM2020660206424</t>
  </si>
  <si>
    <t>KFM2020660057094</t>
  </si>
  <si>
    <t>SMR2320661024549</t>
  </si>
  <si>
    <t xml:space="preserve">   مسجد الحميد .</t>
  </si>
  <si>
    <t>KFM2120660295057</t>
  </si>
  <si>
    <t xml:space="preserve">   مسجد حى المنح .</t>
  </si>
  <si>
    <t>KFM2120660299847</t>
  </si>
  <si>
    <t xml:space="preserve">   مسجد حي حطين .</t>
  </si>
  <si>
    <t>KFM2020660031810</t>
  </si>
  <si>
    <t xml:space="preserve">   جامع وسكن  حمود اللحيدان .</t>
  </si>
  <si>
    <t>KFM2020660176371</t>
  </si>
  <si>
    <t xml:space="preserve">   مسجد الشويعى .</t>
  </si>
  <si>
    <t>KFM2120660281690</t>
  </si>
  <si>
    <t>KFM2020660202036</t>
  </si>
  <si>
    <t xml:space="preserve">   مسجد الرميزان .</t>
  </si>
  <si>
    <t>KFM2020660214051</t>
  </si>
  <si>
    <t>KFM2020660174867</t>
  </si>
  <si>
    <t>KFM2020660211238</t>
  </si>
  <si>
    <t xml:space="preserve">   مسجد عبدالله العسكر .</t>
  </si>
  <si>
    <t>KFM2020660197146</t>
  </si>
  <si>
    <t>KFM2020660031434</t>
  </si>
  <si>
    <t xml:space="preserve">   جامع      الهاجري .</t>
  </si>
  <si>
    <t>KFM2120660282678</t>
  </si>
  <si>
    <t xml:space="preserve">      مسجد فهد العويضه ومرافقه .</t>
  </si>
  <si>
    <t>KFM2020660169616</t>
  </si>
  <si>
    <t>KFM2120660302656</t>
  </si>
  <si>
    <t>KFM2020660046433</t>
  </si>
  <si>
    <t>KFM2020660174021</t>
  </si>
  <si>
    <t>KFM2020660142235</t>
  </si>
  <si>
    <t xml:space="preserve">   مسجد جامع ظهرة الحاير .</t>
  </si>
  <si>
    <t>KFM2120660282701</t>
  </si>
  <si>
    <t xml:space="preserve">   مسجدحي الجزيره .</t>
  </si>
  <si>
    <t>KFM2020660031613</t>
  </si>
  <si>
    <t xml:space="preserve">   جامع الحمراء .</t>
  </si>
  <si>
    <t>KFM2020660133855</t>
  </si>
  <si>
    <t>KFM2120660260335</t>
  </si>
  <si>
    <t xml:space="preserve">   مسجد الامير متعب بن عبدالعزيز .</t>
  </si>
  <si>
    <t>KFM2120660276309</t>
  </si>
  <si>
    <t>KFM2120660273712</t>
  </si>
  <si>
    <t xml:space="preserve">   مسجد المحيسن .</t>
  </si>
  <si>
    <t>SMR2220661002104</t>
  </si>
  <si>
    <t xml:space="preserve">   مسجد شرق غبيرا-أبوبكرالصديق .</t>
  </si>
  <si>
    <t>KFM2120660299306</t>
  </si>
  <si>
    <t>ﺍﻟﻬﻴﺌﺓﺍﻟﻌﻟﻴﺎﻟﺘﻁﻭﻴﺭﻤﺩﻴﻨﺓﺍﻟﺭﻴﺎﺽ .</t>
  </si>
  <si>
    <t>KFM2120660301998</t>
  </si>
  <si>
    <t xml:space="preserve">   وزارة     الاوقاف و  الدعوه و الار .</t>
  </si>
  <si>
    <t>KFM2020660060525</t>
  </si>
  <si>
    <t xml:space="preserve">   مسجد حي  القادسيه .</t>
  </si>
  <si>
    <t>KFM2020660060689</t>
  </si>
  <si>
    <t xml:space="preserve">   مسجد      عبدالله   سكن .</t>
  </si>
  <si>
    <t>KFM2020660178251</t>
  </si>
  <si>
    <t>KFM2120660270642</t>
  </si>
  <si>
    <t>KFM2020660176771</t>
  </si>
  <si>
    <t xml:space="preserve">   مسجد مانع الجهني .</t>
  </si>
  <si>
    <t>KFM2020660173032</t>
  </si>
  <si>
    <t xml:space="preserve">   مسجد /عبدالله علي بن سلمه .</t>
  </si>
  <si>
    <t>KFM2020660006131</t>
  </si>
  <si>
    <t>KFM2020660013550</t>
  </si>
  <si>
    <t xml:space="preserve">   مسجد      ال جري    - .</t>
  </si>
  <si>
    <t>KFM2120660299300</t>
  </si>
  <si>
    <t xml:space="preserve">   مسجد عبدالكريم جميلي .</t>
  </si>
  <si>
    <t>KFM2020660061445</t>
  </si>
  <si>
    <t xml:space="preserve">   مسجد منصور  الراجحي .</t>
  </si>
  <si>
    <t>KFM2020660175256</t>
  </si>
  <si>
    <t xml:space="preserve">         مسجد جامع الناصريه .</t>
  </si>
  <si>
    <t>KFM2120660272469</t>
  </si>
  <si>
    <t>مسجد الامير/ محمد بن عبدالعزيز .</t>
  </si>
  <si>
    <t>KFM2020660197081</t>
  </si>
  <si>
    <t>مدرسه  تحفيظ  لمسجد صالح  الصانع .</t>
  </si>
  <si>
    <t>KFM2020660051614</t>
  </si>
  <si>
    <t xml:space="preserve">   مسجد كريم الشمري .</t>
  </si>
  <si>
    <t>KFM2020660012502</t>
  </si>
  <si>
    <t>SMR2220661000484</t>
  </si>
  <si>
    <t xml:space="preserve">   مسجد الشيخ عبدالله البليهد .</t>
  </si>
  <si>
    <t>KFM2020660169927</t>
  </si>
  <si>
    <t xml:space="preserve">   مسجد حي اليرموك .</t>
  </si>
  <si>
    <t>KFM2020660175733</t>
  </si>
  <si>
    <t xml:space="preserve">   جامع الامام محمد بن سعود .</t>
  </si>
  <si>
    <t>KFM2020660172102</t>
  </si>
  <si>
    <t xml:space="preserve">   مسجد جامع الذياب .</t>
  </si>
  <si>
    <t>KFM2120660274158</t>
  </si>
  <si>
    <t>KFM2020660201954</t>
  </si>
  <si>
    <t xml:space="preserve">   مسجد شرق الربوه .</t>
  </si>
  <si>
    <t>KFM2020660130970</t>
  </si>
  <si>
    <t xml:space="preserve">   جامع الامام احمد بن حنبل .</t>
  </si>
  <si>
    <t>KFM2020660175825</t>
  </si>
  <si>
    <t xml:space="preserve">   مسجد      سعد بن    معاذ .</t>
  </si>
  <si>
    <t>KFM2020660056844</t>
  </si>
  <si>
    <t xml:space="preserve">  مسجدوالدةالامير/ ماجد بن عبدالعزيز .</t>
  </si>
  <si>
    <t>KFM2120660299075</t>
  </si>
  <si>
    <t>مسجد محمد عبدالله  العشوخ .</t>
  </si>
  <si>
    <t>KFM2020660055021</t>
  </si>
  <si>
    <t>KFM2020660050627</t>
  </si>
  <si>
    <t xml:space="preserve">   مسجد سليمان الدريبي .</t>
  </si>
  <si>
    <t>KFM2120660257442</t>
  </si>
  <si>
    <t>KFM2020660162287</t>
  </si>
  <si>
    <t xml:space="preserve">   مسجد حي الريان .</t>
  </si>
  <si>
    <t>KFM2020660167835</t>
  </si>
  <si>
    <t>KFM2020660187873</t>
  </si>
  <si>
    <t>KFM2020660193749</t>
  </si>
  <si>
    <t xml:space="preserve">   بيت       الامام     السفارات .</t>
  </si>
  <si>
    <t>KFM2120660262236</t>
  </si>
  <si>
    <t>KFM2020660042256</t>
  </si>
  <si>
    <t xml:space="preserve">   مسجد حي المنصورة .</t>
  </si>
  <si>
    <t>KFM2120660290531</t>
  </si>
  <si>
    <t xml:space="preserve">   مسجد حي الرمال .</t>
  </si>
  <si>
    <t>KFM2020660174358</t>
  </si>
  <si>
    <t>مسجد الفارس .</t>
  </si>
  <si>
    <t>KFM2020660019170</t>
  </si>
  <si>
    <t xml:space="preserve">   مسجدحي الربيع .</t>
  </si>
  <si>
    <t>KFM2020660208626</t>
  </si>
  <si>
    <t>SMR2420661038587</t>
  </si>
  <si>
    <t xml:space="preserve">   مسجدالصانع بحي الصحافة .</t>
  </si>
  <si>
    <t>KFM2120660302243</t>
  </si>
  <si>
    <t xml:space="preserve">   مسجد سموالامير/سلطان بن عبدالعزيز .</t>
  </si>
  <si>
    <t>KFM2020660174142</t>
  </si>
  <si>
    <t xml:space="preserve">   مسجد / عبدالله العريض .</t>
  </si>
  <si>
    <t>KFM2120660299637</t>
  </si>
  <si>
    <t>KFM2120660256929</t>
  </si>
  <si>
    <t xml:space="preserve">   مسجد نورة زيدالغملاس .</t>
  </si>
  <si>
    <t>KFM2020660201104</t>
  </si>
  <si>
    <t>KFM2120660241089</t>
  </si>
  <si>
    <t xml:space="preserve">   مسجد حى النزهه .</t>
  </si>
  <si>
    <t>KFM2020660173087</t>
  </si>
  <si>
    <t>KFM2020660209225</t>
  </si>
  <si>
    <t xml:space="preserve">   جامع   العساف .</t>
  </si>
  <si>
    <t>KFM2020660193694</t>
  </si>
  <si>
    <t xml:space="preserve">   مسجد سوق الخضار .</t>
  </si>
  <si>
    <t>KFM2020660170805</t>
  </si>
  <si>
    <t>KFM2020660174896</t>
  </si>
  <si>
    <t xml:space="preserve">   مسجد موءقت .</t>
  </si>
  <si>
    <t>KFM2120660236611</t>
  </si>
  <si>
    <t xml:space="preserve">   مسجد عبداللهالحيدان .</t>
  </si>
  <si>
    <t>KFM2020660170786</t>
  </si>
  <si>
    <t xml:space="preserve">   مسجد ام الحمام شرق مجلس التعاون .</t>
  </si>
  <si>
    <t>KFM2020660175533</t>
  </si>
  <si>
    <t>جامع سماحة المفتي .</t>
  </si>
  <si>
    <t>KFM2020660198294</t>
  </si>
  <si>
    <t xml:space="preserve">   مسجد حي الملك فهد .</t>
  </si>
  <si>
    <t>KFM2020660165551</t>
  </si>
  <si>
    <t>KFM2020660174454</t>
  </si>
  <si>
    <t xml:space="preserve">   مسجد      سوق       الربوه .</t>
  </si>
  <si>
    <t>KFM2020660145017</t>
  </si>
  <si>
    <t xml:space="preserve">    مسجدبحي لبن وزارةالشؤون الاسلامية .</t>
  </si>
  <si>
    <t>KFM2020660197669</t>
  </si>
  <si>
    <t xml:space="preserve">   وزارة الشئون الاسلامية والاوقاف .</t>
  </si>
  <si>
    <t>KFM2120660246993</t>
  </si>
  <si>
    <t xml:space="preserve">   مسجد المغرازات .</t>
  </si>
  <si>
    <t>KFM2020660170821</t>
  </si>
  <si>
    <t>KFM2020660213540</t>
  </si>
  <si>
    <t xml:space="preserve">   مشروع الاسكان العاجل / المسجد .</t>
  </si>
  <si>
    <t>KFM2020660188427</t>
  </si>
  <si>
    <t xml:space="preserve">   مسجد حي الزهره .</t>
  </si>
  <si>
    <t>KFM2020660133313</t>
  </si>
  <si>
    <t>مسجدحى  غذوانه .</t>
  </si>
  <si>
    <t>KFM2020660006671</t>
  </si>
  <si>
    <t xml:space="preserve">   مسجد حطين .</t>
  </si>
  <si>
    <t>KFM2020660193091</t>
  </si>
  <si>
    <t>KFM2020660192940</t>
  </si>
  <si>
    <t>مسجد بحى  بدر .</t>
  </si>
  <si>
    <t>KFM2020660115821</t>
  </si>
  <si>
    <t xml:space="preserve">   مسجد حي الوادي .</t>
  </si>
  <si>
    <t>KFM2020660201105</t>
  </si>
  <si>
    <t>مسجد ابوبكر الصديق .</t>
  </si>
  <si>
    <t>KFM2020660042285</t>
  </si>
  <si>
    <t>KFM2020660171810</t>
  </si>
  <si>
    <t xml:space="preserve">   مسجد حي الخليج .</t>
  </si>
  <si>
    <t>KFM2020660190976</t>
  </si>
  <si>
    <t>مسجد مريم اليوسف .</t>
  </si>
  <si>
    <t>KFM2120660300431</t>
  </si>
  <si>
    <t xml:space="preserve">   مسجد الفاروق .</t>
  </si>
  <si>
    <t>KFM2020660176777</t>
  </si>
  <si>
    <t xml:space="preserve">   مسجد جامع الملز الاول .</t>
  </si>
  <si>
    <t>KFM2120660282676</t>
  </si>
  <si>
    <t xml:space="preserve"> مسجدجامع الحى السكنى وزارة الخارجيه .</t>
  </si>
  <si>
    <t>KFM2120660266104</t>
  </si>
  <si>
    <t xml:space="preserve">   مسجد المنار .</t>
  </si>
  <si>
    <t>KFM2020660058496</t>
  </si>
  <si>
    <t xml:space="preserve">   مسجد فهد عبدالله ال حسين .</t>
  </si>
  <si>
    <t>KFM2120660305455</t>
  </si>
  <si>
    <t>KFM2020660190982</t>
  </si>
  <si>
    <t xml:space="preserve">   مسجد محمد الأمين .</t>
  </si>
  <si>
    <t>KFM2020660142082</t>
  </si>
  <si>
    <t xml:space="preserve">   مسجدوسكن الامام والمؤذن الصحافه .</t>
  </si>
  <si>
    <t>KFM2120660250942</t>
  </si>
  <si>
    <t xml:space="preserve">   مسجد الأمير عبدالله بن عبدالعزيز .</t>
  </si>
  <si>
    <t>KFM2020660132573</t>
  </si>
  <si>
    <t xml:space="preserve">   وزارةالشئؤون الاسلامية مسجدالغدير .</t>
  </si>
  <si>
    <t>KFM2020660209512</t>
  </si>
  <si>
    <t>KFM2120660281607</t>
  </si>
  <si>
    <t xml:space="preserve">    جامع ابويوسف  مع سكن الا مام .</t>
  </si>
  <si>
    <t>KFM2020660176857</t>
  </si>
  <si>
    <t>KFM2020660170634</t>
  </si>
  <si>
    <t xml:space="preserve">   مسجد العمور .</t>
  </si>
  <si>
    <t>KFM2120660282664</t>
  </si>
  <si>
    <t>مسجد الدريهمى .</t>
  </si>
  <si>
    <t>KFM2020660051593</t>
  </si>
  <si>
    <t xml:space="preserve">   مسجد صالح بن غصون .</t>
  </si>
  <si>
    <t>KFM2020660229807</t>
  </si>
  <si>
    <t>KFM2020660008262</t>
  </si>
  <si>
    <t xml:space="preserve">   مسجد الأمير سلطان .</t>
  </si>
  <si>
    <t>KFM2020660170878</t>
  </si>
  <si>
    <t>KFM2020660137727</t>
  </si>
  <si>
    <t xml:space="preserve">   الحرس  الوطني مسجد مصعب بن عمير .</t>
  </si>
  <si>
    <t>KFM2020660191687</t>
  </si>
  <si>
    <t xml:space="preserve">   مسجد عبدالعزيز العتي بظهرة لبن .</t>
  </si>
  <si>
    <t>KFM2020660192542</t>
  </si>
  <si>
    <t>مسجد الداخله .</t>
  </si>
  <si>
    <t>KFM2020660098990</t>
  </si>
  <si>
    <t xml:space="preserve">   مسجد شرق حي الملك فيصل .</t>
  </si>
  <si>
    <t>KFM2020660025581</t>
  </si>
  <si>
    <t>وزارة الشئون الاسلاميه والاوقاف .</t>
  </si>
  <si>
    <t>KFM2020660212034</t>
  </si>
  <si>
    <t>KFM2120660271638</t>
  </si>
  <si>
    <t xml:space="preserve">   مسجد صالح العليان .</t>
  </si>
  <si>
    <t>KFM2020660018703</t>
  </si>
  <si>
    <t>KFM2020660174341</t>
  </si>
  <si>
    <t xml:space="preserve">   مسجدالتقوى .</t>
  </si>
  <si>
    <t>KFM2020660061590</t>
  </si>
  <si>
    <t>مسجد البديعه  وسكن الامام  والمؤذن .</t>
  </si>
  <si>
    <t>KFM2020660173520</t>
  </si>
  <si>
    <t>KFM2020660191336</t>
  </si>
  <si>
    <t xml:space="preserve">   مسجد الاسكان رقم 2 .</t>
  </si>
  <si>
    <t>KFM2120660290575</t>
  </si>
  <si>
    <t>KFM2120660257430</t>
  </si>
  <si>
    <t>مسجد ولي العهد الامير عبدالله  بن .</t>
  </si>
  <si>
    <t>KFM2020660189329</t>
  </si>
  <si>
    <t>KFM2020660178134</t>
  </si>
  <si>
    <t xml:space="preserve">   الحرس  الوطني مسجد زيد بن حارثه .</t>
  </si>
  <si>
    <t>KFM2020660175359</t>
  </si>
  <si>
    <t>KFM2020660046558</t>
  </si>
  <si>
    <t xml:space="preserve">   مسجد      الشيخ     الراجحى .</t>
  </si>
  <si>
    <t>KFM2020660214067</t>
  </si>
  <si>
    <t>SMR2420661036137</t>
  </si>
  <si>
    <t>KFM2020660190969</t>
  </si>
  <si>
    <t xml:space="preserve"> مسجد الامير سعود بن فهد بن عبدالعزيز .</t>
  </si>
  <si>
    <t>KFM2020660043469</t>
  </si>
  <si>
    <t xml:space="preserve">   مسجد الباهلى / العروان .</t>
  </si>
  <si>
    <t>KFM2020760147729</t>
  </si>
  <si>
    <t>KFM2120660271145</t>
  </si>
  <si>
    <t xml:space="preserve">    مسجد حي الصحافه .</t>
  </si>
  <si>
    <t>KFM2120660257388</t>
  </si>
  <si>
    <t>وزارة الشؤون الاسلامية والاوقاف-مسجد .</t>
  </si>
  <si>
    <t>KFM2120660304160</t>
  </si>
  <si>
    <t>KFM2020660008745</t>
  </si>
  <si>
    <t xml:space="preserve">   مسجد الشيخ سليمان عبدالعزيز .</t>
  </si>
  <si>
    <t>KFM2120660273771</t>
  </si>
  <si>
    <t>KFM2020660053113</t>
  </si>
  <si>
    <t xml:space="preserve">   مسجد اليرموك .</t>
  </si>
  <si>
    <t>KFM2020660171967</t>
  </si>
  <si>
    <t xml:space="preserve">   مسجد حي الضباط .</t>
  </si>
  <si>
    <t>KFM2020660192117</t>
  </si>
  <si>
    <t xml:space="preserve">   مسجدالشيخ عبدالرحمن علي الجريسي .</t>
  </si>
  <si>
    <t>KFM2020660104165</t>
  </si>
  <si>
    <t>مسجد بن عدوان .</t>
  </si>
  <si>
    <t>KFM2020660198930</t>
  </si>
  <si>
    <t xml:space="preserve">   جامع      حطين      . .</t>
  </si>
  <si>
    <t>KFM2020660187918</t>
  </si>
  <si>
    <t>KFM2020660169305</t>
  </si>
  <si>
    <t>مسجد العريجاء .</t>
  </si>
  <si>
    <t>KFM2020660043894</t>
  </si>
  <si>
    <t xml:space="preserve">   مسجد حي الخالديه  و مرفقاته .</t>
  </si>
  <si>
    <t>KFM2120660287345</t>
  </si>
  <si>
    <t>مسجد الداؤد/الحزم .</t>
  </si>
  <si>
    <t>KFM2020660099244</t>
  </si>
  <si>
    <t>KFM2020660192841</t>
  </si>
  <si>
    <t>مسجد      ناصر      الصفيان .</t>
  </si>
  <si>
    <t>KFM2020660192620</t>
  </si>
  <si>
    <t xml:space="preserve">   مسجد المشعليه .</t>
  </si>
  <si>
    <t>KFM2020660193556</t>
  </si>
  <si>
    <t>KFM2020660193364</t>
  </si>
  <si>
    <t xml:space="preserve">   مسجدحي الغدير .</t>
  </si>
  <si>
    <t>KFM2120660257860</t>
  </si>
  <si>
    <t xml:space="preserve">   مسجد حي بن لادن .</t>
  </si>
  <si>
    <t>KFM2120660247985</t>
  </si>
  <si>
    <t xml:space="preserve">   مسجد الريس   00 .</t>
  </si>
  <si>
    <t>KFM2020660175133</t>
  </si>
  <si>
    <t>KFM2020660191653</t>
  </si>
  <si>
    <t>KFM2020660196745</t>
  </si>
  <si>
    <t xml:space="preserve">   مشروع مصلى نساءالحي السكني و.الخ .</t>
  </si>
  <si>
    <t>KFM2020660197043</t>
  </si>
  <si>
    <t>KFM2020660213001</t>
  </si>
  <si>
    <t>KFM2120660255403</t>
  </si>
  <si>
    <t xml:space="preserve">   جامع فهد العويضة .</t>
  </si>
  <si>
    <t>KFM2120660300169</t>
  </si>
  <si>
    <t>KFM2120660257404</t>
  </si>
  <si>
    <t>KFM2020660040837</t>
  </si>
  <si>
    <t xml:space="preserve">   جامع الريس    // دعوة الجاليات .</t>
  </si>
  <si>
    <t>KFM2120660253462</t>
  </si>
  <si>
    <t xml:space="preserve">   مسجد الربوه .</t>
  </si>
  <si>
    <t>KFM2020660193587</t>
  </si>
  <si>
    <t xml:space="preserve">   مسجد العيسى .</t>
  </si>
  <si>
    <t>KFM2020660139776</t>
  </si>
  <si>
    <t xml:space="preserve">   مسجد منيره ابراهيم العثيمين .</t>
  </si>
  <si>
    <t>KFM2020660123002</t>
  </si>
  <si>
    <t>KFM2120660249230</t>
  </si>
  <si>
    <t>مسجد محمد العلي .</t>
  </si>
  <si>
    <t>KFM2020660054940</t>
  </si>
  <si>
    <t>KFM2020660004034</t>
  </si>
  <si>
    <t xml:space="preserve"> مسجدالامير/تركى بن عبدالعزيزال سعود .</t>
  </si>
  <si>
    <t>KFM2120660246121</t>
  </si>
  <si>
    <t xml:space="preserve">   جامع الريس    // افطار صائم .</t>
  </si>
  <si>
    <t>KFM2120660253464</t>
  </si>
  <si>
    <t xml:space="preserve">   مسجد وضحي .</t>
  </si>
  <si>
    <t>KFM2120660260288</t>
  </si>
  <si>
    <t xml:space="preserve">      مسجد   محمد  حمد صالح المطوع .</t>
  </si>
  <si>
    <t>KFM2020660053285</t>
  </si>
  <si>
    <t>KFM2120660236172</t>
  </si>
  <si>
    <t xml:space="preserve">   مسجد خالد بن الوليد .</t>
  </si>
  <si>
    <t>KFM2020660041926</t>
  </si>
  <si>
    <t xml:space="preserve">   مسجد حي المروج .</t>
  </si>
  <si>
    <t>KFM2020660213538</t>
  </si>
  <si>
    <t xml:space="preserve">   مسجد الروضه بحي العليا .</t>
  </si>
  <si>
    <t>KFM2020660051155</t>
  </si>
  <si>
    <t>KFM2020660174330</t>
  </si>
  <si>
    <t xml:space="preserve">   مسجد السبيعي متعب الفهاد .</t>
  </si>
  <si>
    <t>KFM2120660276280</t>
  </si>
  <si>
    <t xml:space="preserve">   وزارة الشئون الاسلاميةومسجد وسكن .</t>
  </si>
  <si>
    <t>KFM2020660013515</t>
  </si>
  <si>
    <t xml:space="preserve">   مسجدعمر   بن        عبدالعزيز .</t>
  </si>
  <si>
    <t>KFM2020660036973</t>
  </si>
  <si>
    <t xml:space="preserve">   مسجد/طارق بن زياد 6/3435</t>
  </si>
  <si>
    <t>KFM2120660299246</t>
  </si>
  <si>
    <t>SMR2320661030331</t>
  </si>
  <si>
    <t xml:space="preserve">   مسجد علي بن ابي طالب .</t>
  </si>
  <si>
    <t>KFM2020660162856</t>
  </si>
  <si>
    <t>KFM2020660191719</t>
  </si>
  <si>
    <t xml:space="preserve">   جامع الريس .</t>
  </si>
  <si>
    <t>KFM2120660304053</t>
  </si>
  <si>
    <t>KFM2020660044643</t>
  </si>
  <si>
    <t xml:space="preserve">   مسجد العواد بحي الربيع .</t>
  </si>
  <si>
    <t>KFM2120660253065</t>
  </si>
  <si>
    <t>KFM2020660198530</t>
  </si>
  <si>
    <t xml:space="preserve">   جامع/عبدالعزيزبن محمد النصار .</t>
  </si>
  <si>
    <t>KFM2020660187962</t>
  </si>
  <si>
    <t xml:space="preserve">   مسجد حي غرناطة الغربي .</t>
  </si>
  <si>
    <t>KFM2020660178142</t>
  </si>
  <si>
    <t xml:space="preserve">   مسجدسليمان سالم .</t>
  </si>
  <si>
    <t>KFM2020660036716</t>
  </si>
  <si>
    <t>KFM2020660031177</t>
  </si>
  <si>
    <t>KFM2020660211309</t>
  </si>
  <si>
    <t xml:space="preserve">   وزارة الشئون الاسلاميه والاوقاف .</t>
  </si>
  <si>
    <t>KFM2020660197296</t>
  </si>
  <si>
    <t xml:space="preserve">   مسجد حي الغدير .</t>
  </si>
  <si>
    <t>KFM2020660030110</t>
  </si>
  <si>
    <t>KFM2120660241580</t>
  </si>
  <si>
    <t xml:space="preserve">   جامع غرب المستشفى العسكري .</t>
  </si>
  <si>
    <t>KFM2020660227154</t>
  </si>
  <si>
    <t xml:space="preserve">   مسجد عبدالله يوسف .</t>
  </si>
  <si>
    <t>KFM2020660042001</t>
  </si>
  <si>
    <t xml:space="preserve">   مسجد العبري .</t>
  </si>
  <si>
    <t>KFM2020660145848</t>
  </si>
  <si>
    <t xml:space="preserve">   مسجد المطيري .</t>
  </si>
  <si>
    <t>KFM2020660060125</t>
  </si>
  <si>
    <t xml:space="preserve"> مسجدالامير تركي بن عبدالرحمن ال سعود .</t>
  </si>
  <si>
    <t>KFM2020660133859</t>
  </si>
  <si>
    <t xml:space="preserve">   مسجد      الرواف    . .</t>
  </si>
  <si>
    <t>KFM2020660097327</t>
  </si>
  <si>
    <t xml:space="preserve">   مسجد الطيار .</t>
  </si>
  <si>
    <t>KFM2120660268853</t>
  </si>
  <si>
    <t xml:space="preserve">   مسجدالاميرعبدالرحمن عبدالله .</t>
  </si>
  <si>
    <t>KFM2120660272391</t>
  </si>
  <si>
    <t>مسجد حي بدر .</t>
  </si>
  <si>
    <t>KFM2020660203236</t>
  </si>
  <si>
    <t xml:space="preserve">   وزارةالشئون الاسلاميه مسجد .</t>
  </si>
  <si>
    <t>KFM2120660248014</t>
  </si>
  <si>
    <t>KFM2120660262527</t>
  </si>
  <si>
    <t xml:space="preserve">   جامع الامير/ تركي بن عبدالله ال س .</t>
  </si>
  <si>
    <t>KFM2120660273709</t>
  </si>
  <si>
    <t xml:space="preserve">   مسجد      محمد      القاضي .</t>
  </si>
  <si>
    <t>KFM2020660133790</t>
  </si>
  <si>
    <t xml:space="preserve">   مسجدسموالاميرمتعب بن عبدالعزيز .</t>
  </si>
  <si>
    <t>KFM2020660210862</t>
  </si>
  <si>
    <t xml:space="preserve">   جامع الاميره الجوهره بن مساعدومرا .</t>
  </si>
  <si>
    <t>KFM2020660203256</t>
  </si>
  <si>
    <t>KFM2020660187619</t>
  </si>
  <si>
    <t>KFM2120660246985</t>
  </si>
  <si>
    <t>KFM2120655002498</t>
  </si>
  <si>
    <t>KFM2120660247025</t>
  </si>
  <si>
    <t>مسجد ابراهيم  محمد السليمان .</t>
  </si>
  <si>
    <t>KFM2020660014114</t>
  </si>
  <si>
    <t xml:space="preserve">   وزاره الشؤون الاسلاميه =مسجدالمروج .</t>
  </si>
  <si>
    <t>KFM2020660207302</t>
  </si>
  <si>
    <t xml:space="preserve">   وزاره الشؤون الاسلاميه -مسجدالفلاح .</t>
  </si>
  <si>
    <t>KFM2020660211499</t>
  </si>
  <si>
    <t>KFM2120660303781</t>
  </si>
  <si>
    <t>KFM2020660203739</t>
  </si>
  <si>
    <t xml:space="preserve">   وزارة     الشؤون    مسجد حي عرقه .</t>
  </si>
  <si>
    <t>KFM2020660097359</t>
  </si>
  <si>
    <t xml:space="preserve">   مسجد جامع الخير .</t>
  </si>
  <si>
    <t>KFM2120660249157</t>
  </si>
  <si>
    <t>مسجدجامع  الحى .</t>
  </si>
  <si>
    <t>KFM2020660200355</t>
  </si>
  <si>
    <t>مسجد غذوانه .</t>
  </si>
  <si>
    <t>KFM2020660006677</t>
  </si>
  <si>
    <t>ECC2020811052475</t>
  </si>
  <si>
    <t>KFM2020660199000</t>
  </si>
  <si>
    <t xml:space="preserve">   مسجدعلي ابراهيم الحديثي .</t>
  </si>
  <si>
    <t>KFM2020660193565</t>
  </si>
  <si>
    <t xml:space="preserve">   مسجد      -         الصالحيه .</t>
  </si>
  <si>
    <t>KFM2120660286082</t>
  </si>
  <si>
    <t xml:space="preserve">   مسجدالشيخ /عبدالله سليمان المطلق .</t>
  </si>
  <si>
    <t>KFM2020660178211</t>
  </si>
  <si>
    <t>مسجد  /محمد سعد ال  فريان .</t>
  </si>
  <si>
    <t>KFM2020660054959</t>
  </si>
  <si>
    <t>مسجد ام  الامير طلال .</t>
  </si>
  <si>
    <t>KFM2020660198262</t>
  </si>
  <si>
    <t xml:space="preserve">   جامع سلمان الفارسي .</t>
  </si>
  <si>
    <t>KFM2020660174270</t>
  </si>
  <si>
    <t>مسجد      الرفيعة .</t>
  </si>
  <si>
    <t>KFM2020660015215</t>
  </si>
  <si>
    <t>مسجد جامع  طلعه .</t>
  </si>
  <si>
    <t>KFM2020660056107</t>
  </si>
  <si>
    <t xml:space="preserve">   مسجد عبدالله التركى .</t>
  </si>
  <si>
    <t>KFM2020660026482</t>
  </si>
  <si>
    <t>KFM2020660175014</t>
  </si>
  <si>
    <t>مسجد حى  بدر .</t>
  </si>
  <si>
    <t>KFM2020660167668</t>
  </si>
  <si>
    <t>KFM2020660171378</t>
  </si>
  <si>
    <t xml:space="preserve">   مسجد الفريج .</t>
  </si>
  <si>
    <t>KFM2020660229825</t>
  </si>
  <si>
    <t xml:space="preserve">   مسجدحى المعذر .</t>
  </si>
  <si>
    <t>KFM2020660031211</t>
  </si>
  <si>
    <t xml:space="preserve">   مسجد ابي عبدالله البخاري .</t>
  </si>
  <si>
    <t>KFM2020660049737</t>
  </si>
  <si>
    <t>KFM2020660191830</t>
  </si>
  <si>
    <t>مسجد شمال  شرق  الخزان .</t>
  </si>
  <si>
    <t>KFM2120660264474</t>
  </si>
  <si>
    <t xml:space="preserve">   مسجدحي النخيل الغربي .</t>
  </si>
  <si>
    <t>KFM2020660019830</t>
  </si>
  <si>
    <t xml:space="preserve">   مسجد حي الجنادريه .</t>
  </si>
  <si>
    <t>KFM2020660133881</t>
  </si>
  <si>
    <t>مسجد وزاره  الاعلام .</t>
  </si>
  <si>
    <t>KFM2020660014135</t>
  </si>
  <si>
    <t xml:space="preserve">   مسجد  عبدالله بن مسعود .</t>
  </si>
  <si>
    <t>KFM2120660257446</t>
  </si>
  <si>
    <t xml:space="preserve">   مسجد التوحيد .</t>
  </si>
  <si>
    <t>KFM2120660271569</t>
  </si>
  <si>
    <t>KFM2020660191626</t>
  </si>
  <si>
    <t xml:space="preserve">   بيت الامام المسجد ا .</t>
  </si>
  <si>
    <t>KFM2020660188582</t>
  </si>
  <si>
    <t xml:space="preserve">   مسجدوالدة خالد بن عمر البلطان .</t>
  </si>
  <si>
    <t>KFM2020660197653</t>
  </si>
  <si>
    <t xml:space="preserve">   مسجد جامع الحائر .</t>
  </si>
  <si>
    <t>KFM2120660268931</t>
  </si>
  <si>
    <t>مسجدوالدة  موسى       القباع .</t>
  </si>
  <si>
    <t>KFM2020660042269</t>
  </si>
  <si>
    <t>KFM2120660304567</t>
  </si>
  <si>
    <t xml:space="preserve">   مسجدابراهيم السليمبحيالصحافه .</t>
  </si>
  <si>
    <t>KFM2020660207660</t>
  </si>
  <si>
    <t>KFM2020660197752</t>
  </si>
  <si>
    <t>KFM2020660143133</t>
  </si>
  <si>
    <t>KFM2020660187652</t>
  </si>
  <si>
    <t>KFM2020660025458</t>
  </si>
  <si>
    <t xml:space="preserve">   مسجد العلياء .</t>
  </si>
  <si>
    <t>KFM2120660236030</t>
  </si>
  <si>
    <t>KFM2020660061251</t>
  </si>
  <si>
    <t xml:space="preserve">   مسجد النسيم .</t>
  </si>
  <si>
    <t>KFM2120655002507</t>
  </si>
  <si>
    <t xml:space="preserve">   مسجد      عبدالعظيم السكن .</t>
  </si>
  <si>
    <t>KFM2020660232960</t>
  </si>
  <si>
    <t xml:space="preserve">   مسجد العقيق .</t>
  </si>
  <si>
    <t>KFM2020660187994</t>
  </si>
  <si>
    <t xml:space="preserve">      مسجد      التركي .</t>
  </si>
  <si>
    <t>KFM2020660193656</t>
  </si>
  <si>
    <t xml:space="preserve">   جامع الشيخ محمد بن عبدالوهاب .</t>
  </si>
  <si>
    <t>KFM2020660091272</t>
  </si>
  <si>
    <t xml:space="preserve">   مسجد حي القدس .</t>
  </si>
  <si>
    <t>KFM2020660054443</t>
  </si>
  <si>
    <t>مسجد /محمد عبدالعزيز بن عياف .</t>
  </si>
  <si>
    <t>KFM2020660043964</t>
  </si>
  <si>
    <t xml:space="preserve">   مسجد حي السلام .</t>
  </si>
  <si>
    <t>KFM2120660239377</t>
  </si>
  <si>
    <t xml:space="preserve">         مسجد    حي     الغدير .</t>
  </si>
  <si>
    <t>KFM2120660240848</t>
  </si>
  <si>
    <t>وزارة الشئون الا سلا مية والااوقاف .</t>
  </si>
  <si>
    <t>KFM2020660057865</t>
  </si>
  <si>
    <t>KFM2020660191296</t>
  </si>
  <si>
    <t xml:space="preserve">   مسجد سعد عبدالرحمن المزروع .</t>
  </si>
  <si>
    <t>KFM2020660104391</t>
  </si>
  <si>
    <t>KFM2020660042058</t>
  </si>
  <si>
    <t xml:space="preserve">   وزاراة الشئون الاسلامية والاوقاف .</t>
  </si>
  <si>
    <t>KFM2020660201312</t>
  </si>
  <si>
    <t xml:space="preserve">   مسجد ابو ايوب الانصاري . .</t>
  </si>
  <si>
    <t>KFM2020660232955</t>
  </si>
  <si>
    <t>KFM2020660145821</t>
  </si>
  <si>
    <t>مسجد      محمد      الماجد .</t>
  </si>
  <si>
    <t>KFM2020660015351</t>
  </si>
  <si>
    <t>KFM2020660104206</t>
  </si>
  <si>
    <t>KFM2020660191843</t>
  </si>
  <si>
    <t>KFM2020660031360</t>
  </si>
  <si>
    <t>KFM2120660237182</t>
  </si>
  <si>
    <t>0    مسجد      الشعلان .</t>
  </si>
  <si>
    <t>KFM2020660201705</t>
  </si>
  <si>
    <t xml:space="preserve">   جامع الصناعيه الثانيه .</t>
  </si>
  <si>
    <t>KFM2120660236375</t>
  </si>
  <si>
    <t>مسجد حي نمار .</t>
  </si>
  <si>
    <t>KFM2020660083825</t>
  </si>
  <si>
    <t xml:space="preserve">   مسجد حي الربوه غرب الاسواق .</t>
  </si>
  <si>
    <t>KFM2120660268725</t>
  </si>
  <si>
    <t xml:space="preserve">   مسجد الدويش .</t>
  </si>
  <si>
    <t>KFM2120660248692</t>
  </si>
  <si>
    <t xml:space="preserve">   جامع عثمان بن عفان .</t>
  </si>
  <si>
    <t>KFM2020660169503</t>
  </si>
  <si>
    <t>KFM2020660041143</t>
  </si>
  <si>
    <t>مسجد الامير متعب بن عبدالله آل سعود .</t>
  </si>
  <si>
    <t>KFM2120660300106</t>
  </si>
  <si>
    <t xml:space="preserve">    مسجد العليا .</t>
  </si>
  <si>
    <t>KFM2020660165482</t>
  </si>
  <si>
    <t>KFM2020660191333</t>
  </si>
  <si>
    <t xml:space="preserve">   مسجد      لطيفه     ال الشيخ .</t>
  </si>
  <si>
    <t>KFM2020660190936</t>
  </si>
  <si>
    <t xml:space="preserve">   مسجد طريق الخرج .</t>
  </si>
  <si>
    <t>KFM2020660234164</t>
  </si>
  <si>
    <t xml:space="preserve">   مسجد حى الازدهار .</t>
  </si>
  <si>
    <t>KFM2020660173125</t>
  </si>
  <si>
    <t>جامع سعد الموسى .</t>
  </si>
  <si>
    <t>KFM2020660196695</t>
  </si>
  <si>
    <t>مسجد الجراديه .</t>
  </si>
  <si>
    <t>KFM2020660098976</t>
  </si>
  <si>
    <t xml:space="preserve">   مسجد سعد بن معاذ .</t>
  </si>
  <si>
    <t>KFM2120660281717</t>
  </si>
  <si>
    <t xml:space="preserve">   مسجد الدخيل .</t>
  </si>
  <si>
    <t>KFM2020660191703</t>
  </si>
  <si>
    <t>KFM2020660203983</t>
  </si>
  <si>
    <t xml:space="preserve"> مسجد الامير فيصل بن طلال بن عبدالعزيز .</t>
  </si>
  <si>
    <t>KFM2020660202768</t>
  </si>
  <si>
    <t>KFM2020660160575</t>
  </si>
  <si>
    <t xml:space="preserve">   مسجد حمد السعيدان .</t>
  </si>
  <si>
    <t>KFM2020660046042</t>
  </si>
  <si>
    <t xml:space="preserve">   مسجد النفل .</t>
  </si>
  <si>
    <t>KFM2020660095458</t>
  </si>
  <si>
    <t xml:space="preserve">   المسجد    الجامع    بسدوس .</t>
  </si>
  <si>
    <t>KFM2120660244074</t>
  </si>
  <si>
    <t xml:space="preserve">   مسجدالنقير .</t>
  </si>
  <si>
    <t>KFM2120660242098</t>
  </si>
  <si>
    <t xml:space="preserve">   مسجد ج حى السفارات .</t>
  </si>
  <si>
    <t>KFM2020660225653</t>
  </si>
  <si>
    <t xml:space="preserve">   مسجد البابطين .</t>
  </si>
  <si>
    <t>KFM2020660139773</t>
  </si>
  <si>
    <t>جامع ابي  هريره .</t>
  </si>
  <si>
    <t>KFM2020660202669</t>
  </si>
  <si>
    <t xml:space="preserve">   مسجد ابراهيم المعمر .</t>
  </si>
  <si>
    <t>KFM2020660175146</t>
  </si>
  <si>
    <t xml:space="preserve">   مسجد الزبير بن العوام .</t>
  </si>
  <si>
    <t>KFM2020660162184</t>
  </si>
  <si>
    <t>مسجدالشويعر .</t>
  </si>
  <si>
    <t>KFM2020660164274</t>
  </si>
  <si>
    <t>KFM2020660046513</t>
  </si>
  <si>
    <t xml:space="preserve"> مسجد/الاميرفيصل بن سلطان بن عبدالعزي .</t>
  </si>
  <si>
    <t>KFM2120660246201</t>
  </si>
  <si>
    <t>وزارة     الشئون    والاوقاف .</t>
  </si>
  <si>
    <t>KFM2120660270636</t>
  </si>
  <si>
    <t xml:space="preserve">    جامع الأميرة سارة بنت تركي .</t>
  </si>
  <si>
    <t>KFM2120660246244</t>
  </si>
  <si>
    <t>KFM2020660045333</t>
  </si>
  <si>
    <t xml:space="preserve">   مسجد العجيان .</t>
  </si>
  <si>
    <t>KFM2120660256714</t>
  </si>
  <si>
    <t xml:space="preserve">   مسجد حي غرناطه .</t>
  </si>
  <si>
    <t>KFM2020660191588</t>
  </si>
  <si>
    <t xml:space="preserve">   مسجد/ محمد بن سعيدان .</t>
  </si>
  <si>
    <t>KFM2020660008664</t>
  </si>
  <si>
    <t xml:space="preserve">   مسجد      حي        الجنادريه .</t>
  </si>
  <si>
    <t>KFM2020660133884</t>
  </si>
  <si>
    <t xml:space="preserve">   مسجد      الاميره    بنت عبدالله .</t>
  </si>
  <si>
    <t>KFM2120660265990</t>
  </si>
  <si>
    <t xml:space="preserve">   جامع الشيخ سعد الختلان .</t>
  </si>
  <si>
    <t>KFM2020660190889</t>
  </si>
  <si>
    <t xml:space="preserve">   مسجدالأمير سلطان     بن عبدالعزيز .</t>
  </si>
  <si>
    <t>KFM2020660175715</t>
  </si>
  <si>
    <t>SMR2220661007098</t>
  </si>
  <si>
    <t xml:space="preserve">       مسجد  حافظ  رجب الحنبلي .</t>
  </si>
  <si>
    <t>KFM2020660042051</t>
  </si>
  <si>
    <t>مسجد حي طريق  ديراب .</t>
  </si>
  <si>
    <t>KFM2020660200434</t>
  </si>
  <si>
    <t>KFM2020660170643</t>
  </si>
  <si>
    <t xml:space="preserve">   مسجد الناصر .</t>
  </si>
  <si>
    <t>KFM2020660044941</t>
  </si>
  <si>
    <t xml:space="preserve">   مسجد شمال حى الرحمانيه .</t>
  </si>
  <si>
    <t>KFM2020660203047</t>
  </si>
  <si>
    <t>KFM2020660053286</t>
  </si>
  <si>
    <t xml:space="preserve">   مسجد مجاهد المجاهد .</t>
  </si>
  <si>
    <t>KFM2120660299671</t>
  </si>
  <si>
    <t>KFM2020660192901</t>
  </si>
  <si>
    <t xml:space="preserve">   مسجد حي العزيزية .</t>
  </si>
  <si>
    <t>KFM2120660256931</t>
  </si>
  <si>
    <t xml:space="preserve">   مسجد محمد تركي التركي .</t>
  </si>
  <si>
    <t>KFM2020660178137</t>
  </si>
  <si>
    <t>KFM2020660013485</t>
  </si>
  <si>
    <t xml:space="preserve">   مسجدلولوةعبدالعزيزالمطوع الصحافة .</t>
  </si>
  <si>
    <t>KFM2120660262476</t>
  </si>
  <si>
    <t xml:space="preserve">   مسجد وسكن عبدالله المغامس .</t>
  </si>
  <si>
    <t>KFM2020660174893</t>
  </si>
  <si>
    <t xml:space="preserve">   مسجد غرناطة .</t>
  </si>
  <si>
    <t>KFM2020660178231</t>
  </si>
  <si>
    <t xml:space="preserve">   مسجد محمدبن زيد ين سعد الجويعد .</t>
  </si>
  <si>
    <t>KFM2020660162803</t>
  </si>
  <si>
    <t>مسجد المنصوريات .</t>
  </si>
  <si>
    <t>KFM2020660039193</t>
  </si>
  <si>
    <t>KFM2020660008678</t>
  </si>
  <si>
    <t xml:space="preserve">   مسجد      ابراهيم   الشويعر .</t>
  </si>
  <si>
    <t>KFM2020660061503</t>
  </si>
  <si>
    <t xml:space="preserve">   مسجد ابراهيم الموسى .</t>
  </si>
  <si>
    <t>KFM2120660267535</t>
  </si>
  <si>
    <t xml:space="preserve">   بيت الامام المسجد ة .</t>
  </si>
  <si>
    <t>KFM2120660255697</t>
  </si>
  <si>
    <t xml:space="preserve">     مسجد قحصان محمد اليامي .</t>
  </si>
  <si>
    <t>KFM2020660170742</t>
  </si>
  <si>
    <t>مسجد / محمد العريفي .</t>
  </si>
  <si>
    <t>KFM2020660057771</t>
  </si>
  <si>
    <t>SMR2220661006778</t>
  </si>
  <si>
    <t>KFM2020660037589</t>
  </si>
  <si>
    <t>00     مسجد      التقوى .</t>
  </si>
  <si>
    <t>KFM2020660202712</t>
  </si>
  <si>
    <t>مسجدشبرا .</t>
  </si>
  <si>
    <t>KFM2020660037776</t>
  </si>
  <si>
    <t>مسجد عبدالعزيز التويجرى .</t>
  </si>
  <si>
    <t>KFM2020660054763</t>
  </si>
  <si>
    <t>SMR2220661002517</t>
  </si>
  <si>
    <t xml:space="preserve">   مسجد  طالبات المملكه .</t>
  </si>
  <si>
    <t>KFM2020660061266</t>
  </si>
  <si>
    <t xml:space="preserve">   مسجدالدار البيضاء .</t>
  </si>
  <si>
    <t>KFM2020660162242</t>
  </si>
  <si>
    <t xml:space="preserve">   مسجد الامام الالباني .</t>
  </si>
  <si>
    <t>KFM2120660260339</t>
  </si>
  <si>
    <t>مسجد محمد الكثيرى .</t>
  </si>
  <si>
    <t>KFM2020660015360</t>
  </si>
  <si>
    <t>KFM2020660018865</t>
  </si>
  <si>
    <t xml:space="preserve">    مسجد  ال سعيدان .</t>
  </si>
  <si>
    <t>KFM2120660256805</t>
  </si>
  <si>
    <t xml:space="preserve">   مسجد العزيزية .</t>
  </si>
  <si>
    <t>KFM2120660299057</t>
  </si>
  <si>
    <t xml:space="preserve">   مسجد      بن        . .</t>
  </si>
  <si>
    <t>KFM2020660209660</t>
  </si>
  <si>
    <t xml:space="preserve">   مسجد اسواق الهودج .</t>
  </si>
  <si>
    <t>KFM2120660268731</t>
  </si>
  <si>
    <t>مسجد جامع  بن خثيله .</t>
  </si>
  <si>
    <t>KFM2020660053824</t>
  </si>
  <si>
    <t>1638 مسجدبظهره  البديعه  مخطط .</t>
  </si>
  <si>
    <t>KFM2020660044499</t>
  </si>
  <si>
    <t xml:space="preserve">   مسـجد الشـيخ ناصر الشـثرى .</t>
  </si>
  <si>
    <t>KFM2020660201414</t>
  </si>
  <si>
    <t xml:space="preserve">   مسجد الاميرة دليل بنت عبدالرحمن .</t>
  </si>
  <si>
    <t>KFM2120660299478</t>
  </si>
  <si>
    <t>KFM2020660202303</t>
  </si>
  <si>
    <t xml:space="preserve">   مسجد الفضيلي .</t>
  </si>
  <si>
    <t>KFM2020660124984</t>
  </si>
  <si>
    <t xml:space="preserve">  مسجد وزارة الشئون الاسلاميه والاوقاف .</t>
  </si>
  <si>
    <t>KFM2120660299280</t>
  </si>
  <si>
    <t xml:space="preserve">   مسجد نايف الحديثي .</t>
  </si>
  <si>
    <t>KFM2020660060079</t>
  </si>
  <si>
    <t xml:space="preserve">   مسجدالسوق التجارى .</t>
  </si>
  <si>
    <t>KFM2020660229443</t>
  </si>
  <si>
    <t xml:space="preserve">   مسجد الشيخ موفق الميدانى .</t>
  </si>
  <si>
    <t>KFM2020660167287</t>
  </si>
  <si>
    <t xml:space="preserve">   مسجدابن القيم .</t>
  </si>
  <si>
    <t>KFM2020660133317</t>
  </si>
  <si>
    <t xml:space="preserve">   مسجدالربوة .</t>
  </si>
  <si>
    <t>SMR2220661011785</t>
  </si>
  <si>
    <t>KFM2020660046434</t>
  </si>
  <si>
    <t>KFM2020660175744</t>
  </si>
  <si>
    <t>KFM2020660018985</t>
  </si>
  <si>
    <t>مسجد الراجحي .</t>
  </si>
  <si>
    <t>KFM2020660191150</t>
  </si>
  <si>
    <t xml:space="preserve">   مسجد      ابي       الانصاري .</t>
  </si>
  <si>
    <t>KFM2020660133879</t>
  </si>
  <si>
    <t>KFM2020660212074</t>
  </si>
  <si>
    <t xml:space="preserve">   مسجد عمر بن سعيد الأنصار .</t>
  </si>
  <si>
    <t>KFM2020660025552</t>
  </si>
  <si>
    <t xml:space="preserve">   مسجد صالح بن دويس .</t>
  </si>
  <si>
    <t>MMF2020800145198</t>
  </si>
  <si>
    <t>KFM2120660262528</t>
  </si>
  <si>
    <t>مسجد  /   ال  ياسر .</t>
  </si>
  <si>
    <t>KFM2020660013835</t>
  </si>
  <si>
    <t>مسجد  / سعد بن معاذ .</t>
  </si>
  <si>
    <t>KFM2020660018995</t>
  </si>
  <si>
    <t>KFM2020660171686</t>
  </si>
  <si>
    <t xml:space="preserve">   مسجد الجزيرة .</t>
  </si>
  <si>
    <t>KFM2020660191031</t>
  </si>
  <si>
    <t>مسجد ابن   قدامه      الغربي .</t>
  </si>
  <si>
    <t>KFM2020660051658</t>
  </si>
  <si>
    <t xml:space="preserve">   مسجد الضلعان .</t>
  </si>
  <si>
    <t>KFM2020660056810</t>
  </si>
  <si>
    <t>KFM2020660193653</t>
  </si>
  <si>
    <t xml:space="preserve">   مسجدالمهنا .</t>
  </si>
  <si>
    <t>KFM2020660052347</t>
  </si>
  <si>
    <t xml:space="preserve">   جامع الربع بالربوه .</t>
  </si>
  <si>
    <t>KFM2120660267447</t>
  </si>
  <si>
    <t xml:space="preserve">   مسجد/ ذات النطاقين .</t>
  </si>
  <si>
    <t>KFM2020660041276</t>
  </si>
  <si>
    <t xml:space="preserve">   مسجد وسكن بحي المونسية .</t>
  </si>
  <si>
    <t>KFM2020660054241</t>
  </si>
  <si>
    <t xml:space="preserve">   مسجد اللحيدان .</t>
  </si>
  <si>
    <t>KFM2020660174498</t>
  </si>
  <si>
    <t xml:space="preserve">   مسجد المهنا .</t>
  </si>
  <si>
    <t>KFM2020660213951</t>
  </si>
  <si>
    <t xml:space="preserve">   مسجد أنس  بن مالك .</t>
  </si>
  <si>
    <t>KFM2020660061232</t>
  </si>
  <si>
    <t>KFM2020660174818</t>
  </si>
  <si>
    <t>KFM2120660249967</t>
  </si>
  <si>
    <t>KFM2120660281638</t>
  </si>
  <si>
    <t xml:space="preserve">   مسجدشرقى الصالحيه .</t>
  </si>
  <si>
    <t>KFM2120660286077</t>
  </si>
  <si>
    <t>مسجد      عبدالله  بن رواحـــــه .</t>
  </si>
  <si>
    <t>KFM2020660177036</t>
  </si>
  <si>
    <t>KFM2020660046535</t>
  </si>
  <si>
    <t xml:space="preserve">   مسـجد وزارة الدفاع والطيران .</t>
  </si>
  <si>
    <t>KFM2020660160544</t>
  </si>
  <si>
    <t>KFM2020660053287</t>
  </si>
  <si>
    <t>مسجد حي العريجاء .</t>
  </si>
  <si>
    <t>KFM2020660057901</t>
  </si>
  <si>
    <t>KFM2020660203286</t>
  </si>
  <si>
    <t xml:space="preserve">   مسجد الامير/ متعب بن عبدالعزيز .</t>
  </si>
  <si>
    <t>KFM2020660178010</t>
  </si>
  <si>
    <t>KFM2020660193120</t>
  </si>
  <si>
    <t>المسجد الموقت فى  المخطط .</t>
  </si>
  <si>
    <t>SMR2220661006745</t>
  </si>
  <si>
    <t>KFM2020660191827</t>
  </si>
  <si>
    <t>KFM2020660171784</t>
  </si>
  <si>
    <t>KFM2120660300562</t>
  </si>
  <si>
    <t xml:space="preserve">   مسجد مركز المملكةالعليا .</t>
  </si>
  <si>
    <t>KFM2020660173459</t>
  </si>
  <si>
    <t>KFM2020760026162</t>
  </si>
  <si>
    <t xml:space="preserve">    مسجد حى اشبيليا .</t>
  </si>
  <si>
    <t>KFM2020660171291</t>
  </si>
  <si>
    <t xml:space="preserve">   مسجد      حجاب      / .</t>
  </si>
  <si>
    <t>KFM2020660132572</t>
  </si>
  <si>
    <t>KFM2020660043388</t>
  </si>
  <si>
    <t xml:space="preserve">   مسجد جامع حى الفيحاء .</t>
  </si>
  <si>
    <t>KFM2120660299428</t>
  </si>
  <si>
    <t xml:space="preserve">   جامع وسكن مترك عايض الجعيد .</t>
  </si>
  <si>
    <t>KFM2020660174503</t>
  </si>
  <si>
    <t xml:space="preserve">   مسجدالرميزان .</t>
  </si>
  <si>
    <t>KFM2120660257451</t>
  </si>
  <si>
    <t>مسجد /عبدالله  بن عمر .</t>
  </si>
  <si>
    <t>KFM2020660056120</t>
  </si>
  <si>
    <t>0    مسجد      الرومي .</t>
  </si>
  <si>
    <t>KFM2020660055013</t>
  </si>
  <si>
    <t xml:space="preserve">     وزارة الشئون الاسلامية والاوقاف .</t>
  </si>
  <si>
    <t>KFM2020660187948</t>
  </si>
  <si>
    <t xml:space="preserve">   جامع ابوبكر الصديق .</t>
  </si>
  <si>
    <t>KFM2020660012592</t>
  </si>
  <si>
    <t>KFM2020660174551</t>
  </si>
  <si>
    <t xml:space="preserve">   مسجد حمزه بن عبدالمطلب .</t>
  </si>
  <si>
    <t>KFM2020660193645</t>
  </si>
  <si>
    <t xml:space="preserve">   مسجد الايمان .</t>
  </si>
  <si>
    <t>KFM2020660041679</t>
  </si>
  <si>
    <t xml:space="preserve">   جامع الملك عبدالعزيز .</t>
  </si>
  <si>
    <t>KFM2020660051198</t>
  </si>
  <si>
    <t>مسجد اسامة  سعد احمد آل  سليمان .</t>
  </si>
  <si>
    <t>KFM2020660198382</t>
  </si>
  <si>
    <t>مسجد      00        ابو هريره .</t>
  </si>
  <si>
    <t>SMR2320661034179</t>
  </si>
  <si>
    <t xml:space="preserve">   مسجد حى النور .</t>
  </si>
  <si>
    <t>KFM2120660301501</t>
  </si>
  <si>
    <t>مسجد عبدالله الفوزان .</t>
  </si>
  <si>
    <t>KFM2020660031541</t>
  </si>
  <si>
    <t>KFM2020660196836</t>
  </si>
  <si>
    <t xml:space="preserve">   مسجد الامام عبدالرحمن الفيصل سعود .</t>
  </si>
  <si>
    <t>KFM2020660189585</t>
  </si>
  <si>
    <t xml:space="preserve">   مسجد التقوى .</t>
  </si>
  <si>
    <t>KFM2120660251608</t>
  </si>
  <si>
    <t xml:space="preserve">   مسجد كيلو 4 بالنسيم .</t>
  </si>
  <si>
    <t>KFM2120660237230</t>
  </si>
  <si>
    <t xml:space="preserve">   مسجد عكاشه .</t>
  </si>
  <si>
    <t>KFM2120660258945</t>
  </si>
  <si>
    <t>KFM2020660166586</t>
  </si>
  <si>
    <t>KFM2020660133789</t>
  </si>
  <si>
    <t xml:space="preserve">   مسجدموسى عبدالرحمن ال اسماعيل .</t>
  </si>
  <si>
    <t>KFM2020660130020</t>
  </si>
  <si>
    <t>KFM2020660132821</t>
  </si>
  <si>
    <t xml:space="preserve">   مسجد محمد زيد الجويعد .</t>
  </si>
  <si>
    <t>KFM2020660191751</t>
  </si>
  <si>
    <t>KFM2120660262116</t>
  </si>
  <si>
    <t>KFM2020660187884</t>
  </si>
  <si>
    <t>المسجد الموقت بالدخل  المحدود .</t>
  </si>
  <si>
    <t>SMR2220661018949</t>
  </si>
  <si>
    <t xml:space="preserve">   مسجد المعجل .</t>
  </si>
  <si>
    <t>KFM2020660126317</t>
  </si>
  <si>
    <t>KFM2120660276222</t>
  </si>
  <si>
    <t>SMR2220661006884</t>
  </si>
  <si>
    <t>KFM2020660210858</t>
  </si>
  <si>
    <t>مسجد عيسى  بن راشد بن عويسى .</t>
  </si>
  <si>
    <t>KFM2020660056097</t>
  </si>
  <si>
    <t>SMR2420868021160</t>
  </si>
  <si>
    <t xml:space="preserve">   مسجد ذوالنورين .</t>
  </si>
  <si>
    <t>KFM2020660195173</t>
  </si>
  <si>
    <t>SMR2320661024400</t>
  </si>
  <si>
    <t>KFM2120660255555</t>
  </si>
  <si>
    <t>KFM2020660127563</t>
  </si>
  <si>
    <t>مسجد الحسين بن علي .</t>
  </si>
  <si>
    <t>KFM2020660051463</t>
  </si>
  <si>
    <t>مسجد ظ البديعة  غرب  الدائري .</t>
  </si>
  <si>
    <t>KFM2020660201774</t>
  </si>
  <si>
    <t>KFM2020660051385</t>
  </si>
  <si>
    <t>KFM2020660190935</t>
  </si>
  <si>
    <t>مسجد      عبدالعزيز الحمدان .</t>
  </si>
  <si>
    <t>KFM2020660023421</t>
  </si>
  <si>
    <t xml:space="preserve">   مسجد حي العقيق .</t>
  </si>
  <si>
    <t>KFM2120660302037</t>
  </si>
  <si>
    <t>KFM2020660193484</t>
  </si>
  <si>
    <t>SMR2220661019034</t>
  </si>
  <si>
    <t>SMR2220661001505</t>
  </si>
  <si>
    <t>KFM2020660202060</t>
  </si>
  <si>
    <t xml:space="preserve">   اوقاف الاا ال .</t>
  </si>
  <si>
    <t>KFM2020660190754</t>
  </si>
  <si>
    <t>KFM2020660036398</t>
  </si>
  <si>
    <t xml:space="preserve">   مسجدورثه عبدالله الفوزان .</t>
  </si>
  <si>
    <t>KFM2020660188169</t>
  </si>
  <si>
    <t>مسجد والدة  الاميرسطام  بن عبدالعزيز .</t>
  </si>
  <si>
    <t>KFM2120660283966</t>
  </si>
  <si>
    <t>KFM2020660209274</t>
  </si>
  <si>
    <t>KFM2120660251280</t>
  </si>
  <si>
    <t xml:space="preserve"> مسجد الأمير/فهد عبدالله بن عبدالرحمن .</t>
  </si>
  <si>
    <t>KFM2120660250079</t>
  </si>
  <si>
    <t xml:space="preserve">   مسجد      حي        الملك فيصل .</t>
  </si>
  <si>
    <t>KFM2020660012579</t>
  </si>
  <si>
    <t>مسجد بضاحية  العريجا .</t>
  </si>
  <si>
    <t>KFM2020660198275</t>
  </si>
  <si>
    <t xml:space="preserve">   مسجد حى النسيم .</t>
  </si>
  <si>
    <t>KFM2020660018671</t>
  </si>
  <si>
    <t xml:space="preserve">   مسجد حي الا ندلس .</t>
  </si>
  <si>
    <t>KFM2020660054541</t>
  </si>
  <si>
    <t>SMR2220661000002</t>
  </si>
  <si>
    <t xml:space="preserve">   مسجد محمد السدحان .</t>
  </si>
  <si>
    <t>KFM2020660104802</t>
  </si>
  <si>
    <t>مسجد نورة  العجلان .</t>
  </si>
  <si>
    <t>KFM2020660196776</t>
  </si>
  <si>
    <t xml:space="preserve">   مسجد منيره الحميد .</t>
  </si>
  <si>
    <t>KFM2120660300563</t>
  </si>
  <si>
    <t>KFM2020660060430</t>
  </si>
  <si>
    <t xml:space="preserve">   مسجد الطرف الموسى .</t>
  </si>
  <si>
    <t>LYE2020810328574</t>
  </si>
  <si>
    <t>مسجد      جامع      السويدي .</t>
  </si>
  <si>
    <t>KFM2020660054935</t>
  </si>
  <si>
    <t xml:space="preserve">   مسجد جامع الملك عبدالعزيز .</t>
  </si>
  <si>
    <t>KFM2020660188675</t>
  </si>
  <si>
    <t xml:space="preserve">   مسجد      ابراهيم    السالم .</t>
  </si>
  <si>
    <t>KFM2020660090788</t>
  </si>
  <si>
    <t xml:space="preserve"> مسجد حي السعادة مدرسة تحفيظ القرآن .</t>
  </si>
  <si>
    <t>KFM2120660242157</t>
  </si>
  <si>
    <t>SMR2320661021955</t>
  </si>
  <si>
    <t>مسجدالاميره  موضي بنت  تركي .</t>
  </si>
  <si>
    <t>KFM2020660200367</t>
  </si>
  <si>
    <t xml:space="preserve">   مسجدغرب الدفاع .</t>
  </si>
  <si>
    <t>KFM2120660291747</t>
  </si>
  <si>
    <t xml:space="preserve">   مسجدالقادسيه .</t>
  </si>
  <si>
    <t>KFM2120660267500</t>
  </si>
  <si>
    <t>KFM2020660224402</t>
  </si>
  <si>
    <t>KFM2020660167839</t>
  </si>
  <si>
    <t>KFM2020660178206</t>
  </si>
  <si>
    <t xml:space="preserve">   مسجدالحميدي الهقشاء .</t>
  </si>
  <si>
    <t>KFM2020660042633</t>
  </si>
  <si>
    <t xml:space="preserve">   مسجد الهزاع .</t>
  </si>
  <si>
    <t>KFM2020660175706</t>
  </si>
  <si>
    <t>مسجد بن سعيد .</t>
  </si>
  <si>
    <t>KFM2020660056025</t>
  </si>
  <si>
    <t>KFM2020660211290</t>
  </si>
  <si>
    <t xml:space="preserve">   مسجد عبدالله بن مسعود .</t>
  </si>
  <si>
    <t>KFM2020660175298</t>
  </si>
  <si>
    <t xml:space="preserve">   مسجد السديري .</t>
  </si>
  <si>
    <t>KFM2120660236542</t>
  </si>
  <si>
    <t>مسجد الخراشى .</t>
  </si>
  <si>
    <t>KFM2020660055004</t>
  </si>
  <si>
    <t xml:space="preserve">   مسجد      الفارس    الدرعيه .</t>
  </si>
  <si>
    <t>KFM2020660191325</t>
  </si>
  <si>
    <t>مسجد المجمع التجاري  /حراج  بن قاسم .</t>
  </si>
  <si>
    <t>KFM2020660166230</t>
  </si>
  <si>
    <t xml:space="preserve">   مسجد حي   الياسمين .</t>
  </si>
  <si>
    <t>KFM2020660206925</t>
  </si>
  <si>
    <t xml:space="preserve">   جامع فالح عبدالرحمن الحارثي .</t>
  </si>
  <si>
    <t>KFM2120660239068</t>
  </si>
  <si>
    <t xml:space="preserve">   مسجد الشيخ / عبدالعزيز بن باز .</t>
  </si>
  <si>
    <t>KFM2020660197487</t>
  </si>
  <si>
    <t>KFM2020660019398</t>
  </si>
  <si>
    <t xml:space="preserve">   مسجد ذات النطاقين .</t>
  </si>
  <si>
    <t>KFM2120660301546</t>
  </si>
  <si>
    <t xml:space="preserve">   مسجد / والدة ناصر بن سعد الدخيل .</t>
  </si>
  <si>
    <t>KFM2020660026259</t>
  </si>
  <si>
    <t xml:space="preserve">   وزاره الشؤن الاسلاميه ولاوقاف .</t>
  </si>
  <si>
    <t>KFM2020660224415</t>
  </si>
  <si>
    <t xml:space="preserve">   مسجد بن ملافخ .</t>
  </si>
  <si>
    <t>KFM2020660167851</t>
  </si>
  <si>
    <t xml:space="preserve">   مسجدابوسفيان .</t>
  </si>
  <si>
    <t>KFM2020660171228</t>
  </si>
  <si>
    <t>KFM2020660190358</t>
  </si>
  <si>
    <t>KFM2020660200418</t>
  </si>
  <si>
    <t xml:space="preserve">   مسجد حي المحمدية .</t>
  </si>
  <si>
    <t>KFM2020660188982</t>
  </si>
  <si>
    <t>KFM2020660190871</t>
  </si>
  <si>
    <t xml:space="preserve">   مسجد زيد ابن الارقم .</t>
  </si>
  <si>
    <t>KFM2120660247414</t>
  </si>
  <si>
    <t>MMF2020800227443</t>
  </si>
  <si>
    <t xml:space="preserve">   مسجدابوبكر .</t>
  </si>
  <si>
    <t>KFM2020660047750</t>
  </si>
  <si>
    <t xml:space="preserve">   مسجد      الشيخ     السعيدان .</t>
  </si>
  <si>
    <t>KFM2020660051109</t>
  </si>
  <si>
    <t xml:space="preserve">   مسجدالامير سلطان ابن ال سعود .</t>
  </si>
  <si>
    <t>KFM2120660262259</t>
  </si>
  <si>
    <t>SMR2220621001914</t>
  </si>
  <si>
    <t xml:space="preserve">   مسجد سعود الفالح واخوانه .</t>
  </si>
  <si>
    <t>KFM2020660054437</t>
  </si>
  <si>
    <t>KFM2120660262525</t>
  </si>
  <si>
    <t>KFM2020660051657</t>
  </si>
  <si>
    <t xml:space="preserve">   مسجد الصحافة .</t>
  </si>
  <si>
    <t>KFM2020660135546</t>
  </si>
  <si>
    <t xml:space="preserve">   مسجد متعب الدعجاني .</t>
  </si>
  <si>
    <t>KFM2020660054529</t>
  </si>
  <si>
    <t>KFM2020660192581</t>
  </si>
  <si>
    <t xml:space="preserve">   مسجد الراجحى .</t>
  </si>
  <si>
    <t>KFM2120660247991</t>
  </si>
  <si>
    <t xml:space="preserve">   وزارة الشئون الاسلاميه جامع النور .</t>
  </si>
  <si>
    <t>KFM2120660256934</t>
  </si>
  <si>
    <t>KFM2120660283896</t>
  </si>
  <si>
    <t>مسجد  عبد العزيز الغانم .</t>
  </si>
  <si>
    <t>KFM2020660198301</t>
  </si>
  <si>
    <t xml:space="preserve">   مسجد حي غبيراء الجنوبي .</t>
  </si>
  <si>
    <t>KFM2120660281634</t>
  </si>
  <si>
    <t>مسجد غرب شبراء .</t>
  </si>
  <si>
    <t>KFM2020660099037</t>
  </si>
  <si>
    <t xml:space="preserve">   مسجد الاميره قماشه .</t>
  </si>
  <si>
    <t>KFM2120660280086</t>
  </si>
  <si>
    <t xml:space="preserve">   مسجدعبدالله ناصرالصقر .</t>
  </si>
  <si>
    <t>SMR2220661011648</t>
  </si>
  <si>
    <t xml:space="preserve">   مسجد هياء راشد الحسين .</t>
  </si>
  <si>
    <t>KFM2020660191589</t>
  </si>
  <si>
    <t xml:space="preserve">   مسجد حي القادسية .</t>
  </si>
  <si>
    <t>KFM2020660038840</t>
  </si>
  <si>
    <t>.    مسجد      السويدي .</t>
  </si>
  <si>
    <t>KFM2020660199450</t>
  </si>
  <si>
    <t>مسجد الامير عبدالعزيز بن تركى .</t>
  </si>
  <si>
    <t>KFM2020660177103</t>
  </si>
  <si>
    <t>مسجد الجار الله .</t>
  </si>
  <si>
    <t>KFM2120660301502</t>
  </si>
  <si>
    <t xml:space="preserve">   مسجد الخيري .</t>
  </si>
  <si>
    <t>KFM2020660057031</t>
  </si>
  <si>
    <t>SMR2320661028757</t>
  </si>
  <si>
    <t>KFM2020660202496</t>
  </si>
  <si>
    <t xml:space="preserve">   مسجد محمد العريفي .</t>
  </si>
  <si>
    <t>KFM2020660174980</t>
  </si>
  <si>
    <t xml:space="preserve">   مسجد/ ابراهيم بن عبدالله الجريسي .</t>
  </si>
  <si>
    <t>KFM2020660212123</t>
  </si>
  <si>
    <t xml:space="preserve">   مسجد اسكان حي الجزيرة .</t>
  </si>
  <si>
    <t>KFM2120660282017</t>
  </si>
  <si>
    <t>KFM2020660190391</t>
  </si>
  <si>
    <t xml:space="preserve">   مسجد حي الجزيرة .</t>
  </si>
  <si>
    <t>KFM2120660271670</t>
  </si>
  <si>
    <t>مسجدعلي الناصر .</t>
  </si>
  <si>
    <t>KFM2120660266028</t>
  </si>
  <si>
    <t xml:space="preserve">   مسجد      موضى      . .</t>
  </si>
  <si>
    <t>KFM2020660060523</t>
  </si>
  <si>
    <t xml:space="preserve">   مسجد جامع الفداء .</t>
  </si>
  <si>
    <t>KFM2020660139295</t>
  </si>
  <si>
    <t xml:space="preserve">   مسجد السليمانيه .</t>
  </si>
  <si>
    <t>KFM2020660188416</t>
  </si>
  <si>
    <t>مسجدالغنيم .</t>
  </si>
  <si>
    <t>KFM2020660225630</t>
  </si>
  <si>
    <t>مسجد      بجاد حلة   العماج .</t>
  </si>
  <si>
    <t>KFM2020660201740</t>
  </si>
  <si>
    <t>مسجد جنوب الشفاء .</t>
  </si>
  <si>
    <t>KFM2020660171574</t>
  </si>
  <si>
    <t>KFM2120660257828</t>
  </si>
  <si>
    <t>SMR2220661005716</t>
  </si>
  <si>
    <t xml:space="preserve">   مسجد      الخضيري   . .</t>
  </si>
  <si>
    <t>KFM2020660006211</t>
  </si>
  <si>
    <t>KFM2020660044523</t>
  </si>
  <si>
    <t xml:space="preserve">   مسجد الريان .</t>
  </si>
  <si>
    <t>KFM2020660178121</t>
  </si>
  <si>
    <t>KFM2020660170792</t>
  </si>
  <si>
    <t>KFM2120660302091</t>
  </si>
  <si>
    <t xml:space="preserve">   مسجد/ عمر بن  عبدالعزيز .</t>
  </si>
  <si>
    <t>KFM2020660197660</t>
  </si>
  <si>
    <t>.    مسجد      الخرجي .</t>
  </si>
  <si>
    <t>KFM2020660054991</t>
  </si>
  <si>
    <t xml:space="preserve">   مسجد العريني .</t>
  </si>
  <si>
    <t>KFM2020660018691</t>
  </si>
  <si>
    <t>KFM2020660211457</t>
  </si>
  <si>
    <t xml:space="preserve">   مسجد اسواق العويس .</t>
  </si>
  <si>
    <t>KFM2020660014356</t>
  </si>
  <si>
    <t xml:space="preserve">   مسجد      حي        اشبيليا .</t>
  </si>
  <si>
    <t>KFM2020660041256</t>
  </si>
  <si>
    <t xml:space="preserve"> وزاره الشئون والاوقاف (مسجدحي النفل) .</t>
  </si>
  <si>
    <t>KFM2020660052796</t>
  </si>
  <si>
    <t>KFM2120660299060</t>
  </si>
  <si>
    <t xml:space="preserve">   مسجد المنصورة (سعود الدوسري) .</t>
  </si>
  <si>
    <t>KFM2120660253605</t>
  </si>
  <si>
    <t xml:space="preserve">   مسجدعبدالله النملة ومرافقيه .</t>
  </si>
  <si>
    <t>KFM2120660253018</t>
  </si>
  <si>
    <t xml:space="preserve">   مسجد بلال بن رباح .</t>
  </si>
  <si>
    <t>KFM2120660247448</t>
  </si>
  <si>
    <t>SMR2220661001707</t>
  </si>
  <si>
    <t>KFM2020660018862</t>
  </si>
  <si>
    <t xml:space="preserve">   مسجدالصناعيةالقديمة .</t>
  </si>
  <si>
    <t>KFM2020660057324</t>
  </si>
  <si>
    <t>KFM2020660190355</t>
  </si>
  <si>
    <t>KFM2020660190137</t>
  </si>
  <si>
    <t xml:space="preserve">   مسجد والدةالاميرمحمدبن نواف .</t>
  </si>
  <si>
    <t>KFM2020660201410</t>
  </si>
  <si>
    <t>KFM2020660154705</t>
  </si>
  <si>
    <t>مسجد المنيع  بالبديعه .</t>
  </si>
  <si>
    <t>KFM2020660052978</t>
  </si>
  <si>
    <t>KFM2020660061077</t>
  </si>
  <si>
    <t xml:space="preserve"> مسجدالاميرة/منيرة سلطان بن عبدالعزيز .</t>
  </si>
  <si>
    <t>KFM2120660272459</t>
  </si>
  <si>
    <t xml:space="preserve">   مسجد  فهد محمد السعيدان .</t>
  </si>
  <si>
    <t>KFM2020660197005</t>
  </si>
  <si>
    <t xml:space="preserve">   مسجد عبدالهادي الصفوق .</t>
  </si>
  <si>
    <t>KFM2120660246741</t>
  </si>
  <si>
    <t>KFM2020660190180</t>
  </si>
  <si>
    <t xml:space="preserve">   مسجد / عبدالله ال براهيم .</t>
  </si>
  <si>
    <t>KFM2020660174301</t>
  </si>
  <si>
    <t>KFM2020660047215</t>
  </si>
  <si>
    <t>مسجد حمد  عبدالله    الموسى .</t>
  </si>
  <si>
    <t>MMF2020800008887</t>
  </si>
  <si>
    <t xml:space="preserve">   مسجد ابراهيم الحصين ومرافقه .</t>
  </si>
  <si>
    <t>ECC2020810865796</t>
  </si>
  <si>
    <t xml:space="preserve">   مسجد علي الجميعه .</t>
  </si>
  <si>
    <t>KFM2020660037487</t>
  </si>
  <si>
    <t>.    مسجد      الطرباق .</t>
  </si>
  <si>
    <t>KFM2020660203684</t>
  </si>
  <si>
    <t xml:space="preserve">   مسجداليمامة .</t>
  </si>
  <si>
    <t>KFM2020660193542</t>
  </si>
  <si>
    <t>SMR2320661030289</t>
  </si>
  <si>
    <t>KFM2020660224369</t>
  </si>
  <si>
    <t xml:space="preserve">   مسجد الحي السكنى بوزارةالخارجيه .</t>
  </si>
  <si>
    <t>KFM2020660197124</t>
  </si>
  <si>
    <t>مسجدالشيخ  عبدالعزيزبن سحيم .</t>
  </si>
  <si>
    <t>KFM2020660051637</t>
  </si>
  <si>
    <t>KFM2020660031801</t>
  </si>
  <si>
    <t xml:space="preserve">   مسجد خالد سعود الحربي .</t>
  </si>
  <si>
    <t>KFM2020660139813</t>
  </si>
  <si>
    <t xml:space="preserve">   جامع حي المروج .</t>
  </si>
  <si>
    <t>KFM2020660213557</t>
  </si>
  <si>
    <t>مسجد جامع  بن تركى .</t>
  </si>
  <si>
    <t>KFM2020660035609</t>
  </si>
  <si>
    <t>KFM2120660240911</t>
  </si>
  <si>
    <t>SMR2320661023006</t>
  </si>
  <si>
    <t xml:space="preserve">   مسجد الامير /نواف بن فيصل بن فهد .</t>
  </si>
  <si>
    <t>KFM2120660240914</t>
  </si>
  <si>
    <t>KFM2020660053846</t>
  </si>
  <si>
    <t>KFM2020660174238</t>
  </si>
  <si>
    <t>KFM2020660202796</t>
  </si>
  <si>
    <t>وزارة الشئون الاسلامية مسجد المقيطيب .</t>
  </si>
  <si>
    <t>KFM2020660060736</t>
  </si>
  <si>
    <t>SMR2220621001086</t>
  </si>
  <si>
    <t>مسجد ناصر العمار .</t>
  </si>
  <si>
    <t>KFM2020660171634</t>
  </si>
  <si>
    <t xml:space="preserve">   مسجد اسواق طيبه .</t>
  </si>
  <si>
    <t>KFM2020660209167</t>
  </si>
  <si>
    <t>KFM2020660053322</t>
  </si>
  <si>
    <t>KFM2120660291838</t>
  </si>
  <si>
    <t>وزارة الشئون الاسلامية مسجد المرشد .</t>
  </si>
  <si>
    <t>KFM2020660049580</t>
  </si>
  <si>
    <t>مسجد الاميرسلمان بن محمد .</t>
  </si>
  <si>
    <t>KFM2020660038742</t>
  </si>
  <si>
    <t xml:space="preserve">   مسجدالزهرة حي المنار .</t>
  </si>
  <si>
    <t>KFM2020660054755</t>
  </si>
  <si>
    <t xml:space="preserve">   مسجدالاميرعبدالعزيزمساعدبن جلوي .</t>
  </si>
  <si>
    <t>KFM2120660303832</t>
  </si>
  <si>
    <t xml:space="preserve">   مسجد  الصرامى .</t>
  </si>
  <si>
    <t>KFM2020660178222</t>
  </si>
  <si>
    <t xml:space="preserve">   مسجد سعيدبن زيد .</t>
  </si>
  <si>
    <t>KFM2020660057045</t>
  </si>
  <si>
    <t>KFM2120660239153</t>
  </si>
  <si>
    <t xml:space="preserve">   مسجد   سلمه ابن  الآكوع .</t>
  </si>
  <si>
    <t>KFM2020660127239</t>
  </si>
  <si>
    <t xml:space="preserve">   مسجد وجامع حى الفيصلية 2905/5</t>
  </si>
  <si>
    <t>KFM2020660053950</t>
  </si>
  <si>
    <t>KFM2120660249225</t>
  </si>
  <si>
    <t xml:space="preserve">   مسجد الامام أحمد بن حنبل .</t>
  </si>
  <si>
    <t>KFM2020660012608</t>
  </si>
  <si>
    <t>KFM2020660190356</t>
  </si>
  <si>
    <t>KFM2120660262124</t>
  </si>
  <si>
    <t>مسجدام  خالد .</t>
  </si>
  <si>
    <t>KFM2020660014136</t>
  </si>
  <si>
    <t>KFM2020660207560</t>
  </si>
  <si>
    <t>00  مسجدالمديميغ .</t>
  </si>
  <si>
    <t>KFM2020660191347</t>
  </si>
  <si>
    <t xml:space="preserve">   مسجد الثنيان .</t>
  </si>
  <si>
    <t>KFM2120660252992</t>
  </si>
  <si>
    <t xml:space="preserve">   مسجد جامع / حي الواحه .</t>
  </si>
  <si>
    <t>KFM2020660188059</t>
  </si>
  <si>
    <t>KFM2120660253613</t>
  </si>
  <si>
    <t>KFM2020660098952</t>
  </si>
  <si>
    <t>مسجد شبرا .</t>
  </si>
  <si>
    <t>KFM2020660044986</t>
  </si>
  <si>
    <t xml:space="preserve">   مسجد الهدى .</t>
  </si>
  <si>
    <t>KFM2020660175153</t>
  </si>
  <si>
    <t>SMR2320661021148</t>
  </si>
  <si>
    <t xml:space="preserve">   وزاره الشئون الاسلاميه ولاوقاف .</t>
  </si>
  <si>
    <t>KFM2020660035649</t>
  </si>
  <si>
    <t>مسجد      الريس     حي السباله .</t>
  </si>
  <si>
    <t>KFM2020660014125</t>
  </si>
  <si>
    <t xml:space="preserve">   مسجدالبصير .</t>
  </si>
  <si>
    <t>KFM2120660305399</t>
  </si>
  <si>
    <t>KFM2020660026524</t>
  </si>
  <si>
    <t>SMR2320661034684</t>
  </si>
  <si>
    <t xml:space="preserve">   مسجدالغفيص .</t>
  </si>
  <si>
    <t>KFM2120660241500</t>
  </si>
  <si>
    <t xml:space="preserve">   مسجد عبدالعزيز الجميح .</t>
  </si>
  <si>
    <t>KFM2120660235681</t>
  </si>
  <si>
    <t>KFM2020660192898</t>
  </si>
  <si>
    <t xml:space="preserve">   مسجد      بحي       ا .</t>
  </si>
  <si>
    <t>KFM2120660262240</t>
  </si>
  <si>
    <t>KFM2020660192543</t>
  </si>
  <si>
    <t>مسجد القاسم  الجنوبي .</t>
  </si>
  <si>
    <t>KFM2020660019160</t>
  </si>
  <si>
    <t xml:space="preserve">   مـسـجـد الـتـقـو ى .</t>
  </si>
  <si>
    <t>KFM2020660173098</t>
  </si>
  <si>
    <t>SMR2220661007625</t>
  </si>
  <si>
    <t>مسجد العباسى .</t>
  </si>
  <si>
    <t>KFM2020660035605</t>
  </si>
  <si>
    <t>مسجد حي شبرا .</t>
  </si>
  <si>
    <t>KFM2020660039919</t>
  </si>
  <si>
    <t>SMR2220661002767</t>
  </si>
  <si>
    <t>مسجد بن غيث .</t>
  </si>
  <si>
    <t>KFM2020660023260</t>
  </si>
  <si>
    <t xml:space="preserve">  مسجد ورثة/الملك خالد بن عبدالعزيز .</t>
  </si>
  <si>
    <t>KFM2020660187736</t>
  </si>
  <si>
    <t>KFM2020660123004</t>
  </si>
  <si>
    <t xml:space="preserve">   مسجدالطوالع .</t>
  </si>
  <si>
    <t>KFM2020760049201</t>
  </si>
  <si>
    <t>SMR2220661007834</t>
  </si>
  <si>
    <t>مسجدالقميعة بجاورالمكتبة الوطنية .</t>
  </si>
  <si>
    <t>KFM2020660038687</t>
  </si>
  <si>
    <t>ﻤﺴﺎﺠﺩ ﺍﻟﺨﻤﺎﺴﻴﻥ .</t>
  </si>
  <si>
    <t>SMR2320661030815</t>
  </si>
  <si>
    <t xml:space="preserve">   مسجد حى الفيحاء .</t>
  </si>
  <si>
    <t>KFM2120660270417</t>
  </si>
  <si>
    <t xml:space="preserve">   مسجد / معاذ بن جبل .</t>
  </si>
  <si>
    <t>KFM2020660047054</t>
  </si>
  <si>
    <t>مسجد وزاره  الشئون الاسلاميه .</t>
  </si>
  <si>
    <t>KFM2120660284006</t>
  </si>
  <si>
    <t>KFM2020660167837</t>
  </si>
  <si>
    <t xml:space="preserve">   مسجد فهد المسند .</t>
  </si>
  <si>
    <t>KFM2020660174884</t>
  </si>
  <si>
    <t>KFM2020660104175</t>
  </si>
  <si>
    <t xml:space="preserve">   وزارة الشئوؤن الاسلامية/مسجدالفاضل .</t>
  </si>
  <si>
    <t>KFM2020660207698</t>
  </si>
  <si>
    <t xml:space="preserve">   مسجد محمدالحمدالاصفر .</t>
  </si>
  <si>
    <t>KFM2120660274163</t>
  </si>
  <si>
    <t>KFM2020660057140</t>
  </si>
  <si>
    <t>KFM2120660262175</t>
  </si>
  <si>
    <t>مسجد      جامع      التقوى .</t>
  </si>
  <si>
    <t>KFM2020660060707</t>
  </si>
  <si>
    <t>KFM2020660191937</t>
  </si>
  <si>
    <t xml:space="preserve">   مسجد عمر بن عبدالعزيز .</t>
  </si>
  <si>
    <t>KFM2020660046206</t>
  </si>
  <si>
    <t>KFM2020660176738</t>
  </si>
  <si>
    <t>SMR2420661036124</t>
  </si>
  <si>
    <t>SMR2320661034417</t>
  </si>
  <si>
    <t xml:space="preserve">   مسجد      حي        الروابي .</t>
  </si>
  <si>
    <t>KFM2020660166602</t>
  </si>
  <si>
    <t xml:space="preserve">   مسجد      سليمان    اليحي .</t>
  </si>
  <si>
    <t>KFM2020660008315</t>
  </si>
  <si>
    <t>مسجد سارة .</t>
  </si>
  <si>
    <t>KFM2020660013320</t>
  </si>
  <si>
    <t xml:space="preserve">  مسجد الأميرة الجواهر بنت فيصل سعود .</t>
  </si>
  <si>
    <t>KFM2020660207652</t>
  </si>
  <si>
    <t xml:space="preserve">   مسجد   حى السفارات .</t>
  </si>
  <si>
    <t>KFM2120660255702</t>
  </si>
  <si>
    <t>KFM2020660052348</t>
  </si>
  <si>
    <t>KFM2020660207289</t>
  </si>
  <si>
    <t>.  مسجد      ابن ربيعه .</t>
  </si>
  <si>
    <t>KFM2020766160772</t>
  </si>
  <si>
    <t xml:space="preserve">   مسجدالهاجرى .</t>
  </si>
  <si>
    <t>KFM2020660165379</t>
  </si>
  <si>
    <t xml:space="preserve">   مسجد      عبدالرحمن اليوسف .</t>
  </si>
  <si>
    <t>KFM2020660047344</t>
  </si>
  <si>
    <t xml:space="preserve">   مسجد جامع الجبيله .</t>
  </si>
  <si>
    <t>KFM2020660201391</t>
  </si>
  <si>
    <t>مسجد      الامير     بن عبدالعزيز .</t>
  </si>
  <si>
    <t>KFM2020660196444</t>
  </si>
  <si>
    <t xml:space="preserve">   مسجد احمد عبدالقادر .</t>
  </si>
  <si>
    <t>KFM2020660156098</t>
  </si>
  <si>
    <t xml:space="preserve">   مسجد الرشيد .</t>
  </si>
  <si>
    <t>KFM2020660027517</t>
  </si>
  <si>
    <t xml:space="preserve">   مسجد حي النسيم .</t>
  </si>
  <si>
    <t>KFM2020660056734</t>
  </si>
  <si>
    <t xml:space="preserve">   مسجد مصلح الحربي .</t>
  </si>
  <si>
    <t>KFM2120660293122</t>
  </si>
  <si>
    <t>المسجدالموءقت حى  الزهرة .</t>
  </si>
  <si>
    <t>KFM2020660044112</t>
  </si>
  <si>
    <t xml:space="preserve">   مسجد عبدالرحمن بن عوف .</t>
  </si>
  <si>
    <t>KFM2020660145830</t>
  </si>
  <si>
    <t>KFM2120660299614</t>
  </si>
  <si>
    <t xml:space="preserve">   مسجد/ سليمان العبود .</t>
  </si>
  <si>
    <t>KFM2020660138396</t>
  </si>
  <si>
    <t>مسجد بن زرقان .</t>
  </si>
  <si>
    <t>KFM2020660203975</t>
  </si>
  <si>
    <t xml:space="preserve">   جامع العرنوس .</t>
  </si>
  <si>
    <t>KFM2020660162754</t>
  </si>
  <si>
    <t xml:space="preserve">   جامع المصيف .</t>
  </si>
  <si>
    <t>KFM2020660173819</t>
  </si>
  <si>
    <t>KFM2020660166549</t>
  </si>
  <si>
    <t>KFM2020660104891</t>
  </si>
  <si>
    <t>KFM2020660214084</t>
  </si>
  <si>
    <t>KFM2120660270078</t>
  </si>
  <si>
    <t xml:space="preserve">   مسجدامين العبدالعزيز .</t>
  </si>
  <si>
    <t>KFM2020660234120</t>
  </si>
  <si>
    <t>KFM2120655002481</t>
  </si>
  <si>
    <t>مسجد      والدة الاميرسلمان بن محم .</t>
  </si>
  <si>
    <t>KFM2020660171802</t>
  </si>
  <si>
    <t xml:space="preserve">   مسجد المطرودي .</t>
  </si>
  <si>
    <t>KFM2120660270372</t>
  </si>
  <si>
    <t>KFM2020660025744</t>
  </si>
  <si>
    <t xml:space="preserve">   مسجد الحامد .</t>
  </si>
  <si>
    <t>KFM2020660171497</t>
  </si>
  <si>
    <t>SMR2220621000802</t>
  </si>
  <si>
    <t>LYE2020830014521</t>
  </si>
  <si>
    <t>-  مسجد بحي الشفاء  -العطاالله .</t>
  </si>
  <si>
    <t>KFM2020660019050</t>
  </si>
  <si>
    <t>KFM2020660201377</t>
  </si>
  <si>
    <t>KFM2020660177066</t>
  </si>
  <si>
    <t xml:space="preserve">   مسجد الغفيلي .</t>
  </si>
  <si>
    <t>KFM2020660049708</t>
  </si>
  <si>
    <t xml:space="preserve">   مسجد جزاء ثنيان  العتيبي .</t>
  </si>
  <si>
    <t>KFM2020660174448</t>
  </si>
  <si>
    <t xml:space="preserve">   مسجد حي الملز .</t>
  </si>
  <si>
    <t>KFM2120660247994</t>
  </si>
  <si>
    <t xml:space="preserve">   مسجدابراهيم المفيريج و مرافقه .</t>
  </si>
  <si>
    <t>KFM2020660173665</t>
  </si>
  <si>
    <t xml:space="preserve">   مسجدزيدبن ثابت /ابرهيم اليابس .</t>
  </si>
  <si>
    <t>KFM2120655004423</t>
  </si>
  <si>
    <t xml:space="preserve">   مسجد الخويطر .</t>
  </si>
  <si>
    <t>KFM2020660170753</t>
  </si>
  <si>
    <t>KFM2120655001335</t>
  </si>
  <si>
    <t>مسجد      الحزم .</t>
  </si>
  <si>
    <t>KFM2120660254475</t>
  </si>
  <si>
    <t>KFM2020660233152</t>
  </si>
  <si>
    <t>KFM2020660042530</t>
  </si>
  <si>
    <t>مسجد محمد الجاسر .</t>
  </si>
  <si>
    <t>KFM2020660201780</t>
  </si>
  <si>
    <t>SMR2220661017806</t>
  </si>
  <si>
    <t>KFM2020660190431</t>
  </si>
  <si>
    <t>SMR2320661034287</t>
  </si>
  <si>
    <t>KFM2020660143085</t>
  </si>
  <si>
    <t>KFM2020660133878</t>
  </si>
  <si>
    <t>KFM2020660013806</t>
  </si>
  <si>
    <t xml:space="preserve">   مسجد الرومي .</t>
  </si>
  <si>
    <t>KFM2020660095899</t>
  </si>
  <si>
    <t xml:space="preserve">   مسجد عبدالله الوهبي .</t>
  </si>
  <si>
    <t>KFM2020660230035</t>
  </si>
  <si>
    <t xml:space="preserve">     مسجدالحبيب .</t>
  </si>
  <si>
    <t>KFM2020660193114</t>
  </si>
  <si>
    <t>KFM2020660207641</t>
  </si>
  <si>
    <t>SMR2220661017410</t>
  </si>
  <si>
    <t>KFM2020660056722</t>
  </si>
  <si>
    <t xml:space="preserve">   مسجد غرمان عبدالعزيز الشهرى .</t>
  </si>
  <si>
    <t>KFM2020660123119</t>
  </si>
  <si>
    <t>KFM2020660104253</t>
  </si>
  <si>
    <t>KFM2020660195117</t>
  </si>
  <si>
    <t>KFM2020660187651</t>
  </si>
  <si>
    <t>ECC2020810865794</t>
  </si>
  <si>
    <t xml:space="preserve">   مسجد      الامير     بن محمد .</t>
  </si>
  <si>
    <t>KFM2120660265987</t>
  </si>
  <si>
    <t>SMR2220661002729</t>
  </si>
  <si>
    <t>KFM2120660302040</t>
  </si>
  <si>
    <t>SMR2420661038839</t>
  </si>
  <si>
    <t xml:space="preserve">   جامع السحيباني .</t>
  </si>
  <si>
    <t>KFM2120660301608</t>
  </si>
  <si>
    <t xml:space="preserve">   مسجد      جعفر بن   ابي طالب .</t>
  </si>
  <si>
    <t>KFM2020660192967</t>
  </si>
  <si>
    <t>KFM2020660197298</t>
  </si>
  <si>
    <t xml:space="preserve">   مسجد العجيبه .</t>
  </si>
  <si>
    <t>KFM2120660304634</t>
  </si>
  <si>
    <t xml:space="preserve">   وزارة ألشئون ألاسلاميه ولاوقاف .</t>
  </si>
  <si>
    <t>KFM2020660211383</t>
  </si>
  <si>
    <t xml:space="preserve">   مسجدنوره الصبيح ومرافقة .</t>
  </si>
  <si>
    <t>KFM2020660213087</t>
  </si>
  <si>
    <t>KFM2120660239074</t>
  </si>
  <si>
    <t xml:space="preserve">   مسجدالفلاح .</t>
  </si>
  <si>
    <t>KFM2020660206988</t>
  </si>
  <si>
    <t xml:space="preserve">   مسجد   النهضه .</t>
  </si>
  <si>
    <t>KFM2020660119277</t>
  </si>
  <si>
    <t>KFM2020660057200</t>
  </si>
  <si>
    <t>مسجدالعقيلى .</t>
  </si>
  <si>
    <t>KFM2020660201629</t>
  </si>
  <si>
    <t>KFM2020660195113</t>
  </si>
  <si>
    <t>AEC2020830323453</t>
  </si>
  <si>
    <t>KFM2020660056826</t>
  </si>
  <si>
    <t>مسجد شبراء .</t>
  </si>
  <si>
    <t>KFM2020660098902</t>
  </si>
  <si>
    <t xml:space="preserve">   مسجدمحمد بن واسع .</t>
  </si>
  <si>
    <t>KFM2020660042632</t>
  </si>
  <si>
    <t>مسجد /طريق  الملك  فهد .</t>
  </si>
  <si>
    <t>KFM2020660201735</t>
  </si>
  <si>
    <t xml:space="preserve">   مسجد صفين .</t>
  </si>
  <si>
    <t>KFM2020660166610</t>
  </si>
  <si>
    <t xml:space="preserve">   مسجد حي الربوة .</t>
  </si>
  <si>
    <t>KFM2020660043385</t>
  </si>
  <si>
    <t>SMR2420661036091</t>
  </si>
  <si>
    <t>KFM2120655004082</t>
  </si>
  <si>
    <t>KFM2120660262247</t>
  </si>
  <si>
    <t>KFM2120655004601</t>
  </si>
  <si>
    <t xml:space="preserve">   مسجدالجامع الجديدبالملز .</t>
  </si>
  <si>
    <t>KFM2020660229334</t>
  </si>
  <si>
    <t>KFM2020660054033</t>
  </si>
  <si>
    <t>KFM2020660104872</t>
  </si>
  <si>
    <t xml:space="preserve">   مسجد حي السلام الشرقي .</t>
  </si>
  <si>
    <t>KFM2020660145825</t>
  </si>
  <si>
    <t>مسجد      موضى       بن سعيدان .</t>
  </si>
  <si>
    <t>KFM2020660197086</t>
  </si>
  <si>
    <t xml:space="preserve">   مسجد وسكن صالح الخليفه .</t>
  </si>
  <si>
    <t>KFM2020660174864</t>
  </si>
  <si>
    <t>KFM2020660123007</t>
  </si>
  <si>
    <t xml:space="preserve">   مسجد      حمد       الخريف .</t>
  </si>
  <si>
    <t>KFM2020660139700</t>
  </si>
  <si>
    <t xml:space="preserve">   جامع الصديق .</t>
  </si>
  <si>
    <t>KFM2020660210764</t>
  </si>
  <si>
    <t xml:space="preserve">   مسجد عبداللطيف المطلق .</t>
  </si>
  <si>
    <t>KFM2020660049706</t>
  </si>
  <si>
    <t>KFM2120660282510</t>
  </si>
  <si>
    <t>KFM2020660039177</t>
  </si>
  <si>
    <t xml:space="preserve">   مسجد الدار البيضاء في الجهة الشر .</t>
  </si>
  <si>
    <t>KFM2020660161625</t>
  </si>
  <si>
    <t xml:space="preserve">   مسجد شرق حي الخليج .</t>
  </si>
  <si>
    <t>KFM2020660190958</t>
  </si>
  <si>
    <t>KFM2020660213610</t>
  </si>
  <si>
    <t>KFM2020660213007</t>
  </si>
  <si>
    <t>مسجدالرويضة بالسبالة (حلة عبيدالسهو .</t>
  </si>
  <si>
    <t>KFM2020660189416</t>
  </si>
  <si>
    <t xml:space="preserve">   مدرسة تحفيظ قران /عبدالله الذياب .</t>
  </si>
  <si>
    <t>KFM2120660249327</t>
  </si>
  <si>
    <t>مسجد/ الامير سلمان .</t>
  </si>
  <si>
    <t>KFM2020660023516</t>
  </si>
  <si>
    <t xml:space="preserve">   مسجد وسكن عبدالعزيز التويجرى .</t>
  </si>
  <si>
    <t>KFM2020660161236</t>
  </si>
  <si>
    <t xml:space="preserve">   مسجد حماد القريني .</t>
  </si>
  <si>
    <t>KFM2120660256837</t>
  </si>
  <si>
    <t>KFM2020660008773</t>
  </si>
  <si>
    <t xml:space="preserve">    مسجد حي الملقا .</t>
  </si>
  <si>
    <t>KFM2020660045241</t>
  </si>
  <si>
    <t>ﻤﺴﺎﺠﺩﺍﻟﺨـﺭﺝ .</t>
  </si>
  <si>
    <t>MMF2420601025808</t>
  </si>
  <si>
    <t>KFM2020660190339</t>
  </si>
  <si>
    <t>KFM2020660104918</t>
  </si>
  <si>
    <t xml:space="preserve">   مسجد الخالديه .</t>
  </si>
  <si>
    <t>KFM2020660034607</t>
  </si>
  <si>
    <t xml:space="preserve">   مسجد محمد الفصيم .</t>
  </si>
  <si>
    <t>KFM2020660133783</t>
  </si>
  <si>
    <t>KFM2020660202081</t>
  </si>
  <si>
    <t xml:space="preserve">   مسجد أبي ذر الغفاري .</t>
  </si>
  <si>
    <t>KFM2020660025575</t>
  </si>
  <si>
    <t xml:space="preserve">   مسجد فهيد المخلفي .</t>
  </si>
  <si>
    <t>KFM2020660050045</t>
  </si>
  <si>
    <t>KFM2020660190456</t>
  </si>
  <si>
    <t xml:space="preserve"> مسجد صحارى بلسى /خلف فندق صلاح الدين .</t>
  </si>
  <si>
    <t>KFM2020660206964</t>
  </si>
  <si>
    <t xml:space="preserve">   مسجد بر الوالدين .</t>
  </si>
  <si>
    <t>KFM2120660256843</t>
  </si>
  <si>
    <t xml:space="preserve">   مسجد عائشه أم المؤمنين .</t>
  </si>
  <si>
    <t>KFM2020660171223</t>
  </si>
  <si>
    <t>مسجد      ابو بكر الصديق .</t>
  </si>
  <si>
    <t>KFM2020660191158</t>
  </si>
  <si>
    <t xml:space="preserve">         مسجد نبي الرحمه .</t>
  </si>
  <si>
    <t>KFM2020660174515</t>
  </si>
  <si>
    <t>مسجد الشفاء ك 6بجوارمعرضى  الهملان .</t>
  </si>
  <si>
    <t>KFM2020660035601</t>
  </si>
  <si>
    <t>وزارة الشئون الا سلا مية والا اوقاف .</t>
  </si>
  <si>
    <t>KFM2020660007882</t>
  </si>
  <si>
    <t>جامع الا مير محمد بن عبدالعزيز .</t>
  </si>
  <si>
    <t>KFM2020660212031</t>
  </si>
  <si>
    <t>KFM2020660025453</t>
  </si>
  <si>
    <t>SMR2320661034619</t>
  </si>
  <si>
    <t xml:space="preserve">   مسجد النويصر .</t>
  </si>
  <si>
    <t>KFM2020660057330</t>
  </si>
  <si>
    <t>KFM2120655004267</t>
  </si>
  <si>
    <t>مسجد مريم  بنت  عبد  الله  بن  حسن .</t>
  </si>
  <si>
    <t>KFM2020660007932</t>
  </si>
  <si>
    <t xml:space="preserve">   مسجد حمزه الحمزه .</t>
  </si>
  <si>
    <t>KFM2020660193505</t>
  </si>
  <si>
    <t>KFM2020660104894</t>
  </si>
  <si>
    <t xml:space="preserve">   مسجد الحمودي .</t>
  </si>
  <si>
    <t>KFM2020660036501</t>
  </si>
  <si>
    <t xml:space="preserve">   مسجد الزبير بن العوام . .</t>
  </si>
  <si>
    <t>KFM2120660300553</t>
  </si>
  <si>
    <t>KFM2020660154707</t>
  </si>
  <si>
    <t xml:space="preserve"> المسجد    الموقت  جامع العوده .</t>
  </si>
  <si>
    <t>KFM2020660198408</t>
  </si>
  <si>
    <t>KFM2020660047568</t>
  </si>
  <si>
    <t xml:space="preserve">   مسجد      حسين      ال الشيخ .</t>
  </si>
  <si>
    <t>KFM2020660012239</t>
  </si>
  <si>
    <t>KFM2020660187643</t>
  </si>
  <si>
    <t xml:space="preserve">   مسجد بحي العزيزية .</t>
  </si>
  <si>
    <t>KFM2120660299243</t>
  </si>
  <si>
    <t xml:space="preserve">   مسجد ابن  القيم     الجوزيه .</t>
  </si>
  <si>
    <t>KFM2020660166581</t>
  </si>
  <si>
    <t xml:space="preserve">   مسجد بن ماضي .</t>
  </si>
  <si>
    <t>KFM2120660276276</t>
  </si>
  <si>
    <t>مسجدبن سعيد .</t>
  </si>
  <si>
    <t>KFM2020660200405</t>
  </si>
  <si>
    <t xml:space="preserve">   وزارة الشئؤن الاسلاميه مسجد الدار .</t>
  </si>
  <si>
    <t>KFM2020660162304</t>
  </si>
  <si>
    <t xml:space="preserve">   وزارة الشئون الاسلامية مسجدالواصل .</t>
  </si>
  <si>
    <t>KFM2020660202785</t>
  </si>
  <si>
    <t>مسجدالفاروق .</t>
  </si>
  <si>
    <t>KFM2020660203405</t>
  </si>
  <si>
    <t>مسجد بن رويشد حى  اليمامه .</t>
  </si>
  <si>
    <t>KFM2020760038148</t>
  </si>
  <si>
    <t>SMR2220661018865</t>
  </si>
  <si>
    <t xml:space="preserve">   مسجد زيد بن ثابت .</t>
  </si>
  <si>
    <t>KFM2020660211462</t>
  </si>
  <si>
    <t xml:space="preserve">   مسجد الامام الشافعي .</t>
  </si>
  <si>
    <t>KFM2020660104202</t>
  </si>
  <si>
    <t>مسجد السويدي .</t>
  </si>
  <si>
    <t>KFM2020660060646</t>
  </si>
  <si>
    <t>KFM2020660187628</t>
  </si>
  <si>
    <t xml:space="preserve">   مسجد ضاحية لبن .</t>
  </si>
  <si>
    <t>KFM2020660198296</t>
  </si>
  <si>
    <t xml:space="preserve">   مسجد حمود ابراهيم الذياب .</t>
  </si>
  <si>
    <t>KFM2020660176832</t>
  </si>
  <si>
    <t>SMR2220661000784</t>
  </si>
  <si>
    <t xml:space="preserve">   مسجد محمد ابراهيم السليمان .</t>
  </si>
  <si>
    <t>KFM2020660211203</t>
  </si>
  <si>
    <t>KFM2020660139696</t>
  </si>
  <si>
    <t xml:space="preserve">   مسجد      انس     بن مالك .</t>
  </si>
  <si>
    <t>KFM2020660056863</t>
  </si>
  <si>
    <t>SMR2220661011326</t>
  </si>
  <si>
    <t xml:space="preserve">   وزارة الشئون الا سلا مية والا وقاف .</t>
  </si>
  <si>
    <t>KFM2020660127836</t>
  </si>
  <si>
    <t>SMR2320661022736</t>
  </si>
  <si>
    <t>مسجدالامام  ابن الصلاح .</t>
  </si>
  <si>
    <t>KFM2020660038575</t>
  </si>
  <si>
    <t>KFM2020660193039</t>
  </si>
  <si>
    <t>SMR2220661000301</t>
  </si>
  <si>
    <t>KFM2020660023300</t>
  </si>
  <si>
    <t>KFM2020660189356</t>
  </si>
  <si>
    <t>KFM2020660139815</t>
  </si>
  <si>
    <t>مسجدالمرزوقي      حي الحزم .</t>
  </si>
  <si>
    <t>KFM2020660087422</t>
  </si>
  <si>
    <t>0    مسجد      حي طويق .</t>
  </si>
  <si>
    <t>KFM2020766069767</t>
  </si>
  <si>
    <t xml:space="preserve">   مسجد حي الازدهار .</t>
  </si>
  <si>
    <t>KFM2020660175150</t>
  </si>
  <si>
    <t xml:space="preserve"> وزارةالشئون الاسلاميه / مسجد التيسير .</t>
  </si>
  <si>
    <t>KFM2020660191753</t>
  </si>
  <si>
    <t xml:space="preserve">   مسجد محمد العجلان .</t>
  </si>
  <si>
    <t>KFM2120660246653</t>
  </si>
  <si>
    <t xml:space="preserve">   جامع      عرقة      . .</t>
  </si>
  <si>
    <t>KFM2120660270676</t>
  </si>
  <si>
    <t xml:space="preserve">   مسجد سليمان محمد الجوير .</t>
  </si>
  <si>
    <t>KFM2020660195505</t>
  </si>
  <si>
    <t>مسجدالشيخ  حمود التويجري .</t>
  </si>
  <si>
    <t>KFM2020660177040</t>
  </si>
  <si>
    <t>مسجدالفوارة  الجنوبي .</t>
  </si>
  <si>
    <t>KFM2020660171798</t>
  </si>
  <si>
    <t xml:space="preserve">   وزارة الشئون الاسلاميةمسجدسمحه .</t>
  </si>
  <si>
    <t>KFM2020660196602</t>
  </si>
  <si>
    <t>KFM2020660007890</t>
  </si>
  <si>
    <t xml:space="preserve">   مسجد      القرني .</t>
  </si>
  <si>
    <t>KFM2020660139722</t>
  </si>
  <si>
    <t xml:space="preserve">   مسـجدمجمع اسـواق صالح الراجحى .</t>
  </si>
  <si>
    <t>KFM2020660209269</t>
  </si>
  <si>
    <t>KFM2020660171746</t>
  </si>
  <si>
    <t xml:space="preserve">   مسجدالا ميرة/جهير بنت بندر .</t>
  </si>
  <si>
    <t>KFM2020660197652</t>
  </si>
  <si>
    <t>KFM2020660190965</t>
  </si>
  <si>
    <t>المسجد الموقت الدخل  المحدود .</t>
  </si>
  <si>
    <t>KFM2120660270631</t>
  </si>
  <si>
    <t xml:space="preserve">   مسجد محمد عبدالله العميل .</t>
  </si>
  <si>
    <t>KFM2020660195969</t>
  </si>
  <si>
    <t xml:space="preserve">   مسجد اسكان رقم 2 .</t>
  </si>
  <si>
    <t>KFM2120660256946</t>
  </si>
  <si>
    <t>مسجد بحي بدر (عبدالمجيدال  الشيخ .</t>
  </si>
  <si>
    <t>KFM2020660171571</t>
  </si>
  <si>
    <t>SMR2220661005712</t>
  </si>
  <si>
    <t>KFM2020660045432</t>
  </si>
  <si>
    <t xml:space="preserve">   مسجد/ صالح  الرشيد .</t>
  </si>
  <si>
    <t>KFM2020660174076</t>
  </si>
  <si>
    <t>صباحا</t>
  </si>
  <si>
    <t>SMR2220661007005</t>
  </si>
  <si>
    <t>KFM2120660283024</t>
  </si>
  <si>
    <t>MMF2420601025685</t>
  </si>
  <si>
    <t xml:space="preserve">   مسجد وسكن امام ومؤذن مسجدالهاجري .</t>
  </si>
  <si>
    <t>KFM2020660187615</t>
  </si>
  <si>
    <t>SMR2420661038673</t>
  </si>
  <si>
    <t xml:space="preserve">   مسجد وسكن الامام والمؤذن وخدمات .</t>
  </si>
  <si>
    <t>KFM2120660271679</t>
  </si>
  <si>
    <t xml:space="preserve">   مسجد بدر/ حي العلياء .</t>
  </si>
  <si>
    <t>KFM2120660246669</t>
  </si>
  <si>
    <t>KFM2020660037787</t>
  </si>
  <si>
    <t>KFM2120660270726</t>
  </si>
  <si>
    <t>KFM2020660171455</t>
  </si>
  <si>
    <t xml:space="preserve">   مسجد     حي        اشبيليا .</t>
  </si>
  <si>
    <t>KFM2020660040638</t>
  </si>
  <si>
    <t xml:space="preserve">   مسجد عثمان بن عفان .</t>
  </si>
  <si>
    <t>KFM2120660301484</t>
  </si>
  <si>
    <t xml:space="preserve">   مسجد عبدالله ابراهيم النقيثيان .</t>
  </si>
  <si>
    <t>KFM2120660286468</t>
  </si>
  <si>
    <t xml:space="preserve">         مسجد الصالح بحي الوادي .</t>
  </si>
  <si>
    <t>KFM2020660191931</t>
  </si>
  <si>
    <t>KFM2120660268891</t>
  </si>
  <si>
    <t>KFM2020660164367</t>
  </si>
  <si>
    <t>KFM2020660190937</t>
  </si>
  <si>
    <t xml:space="preserve">   مسجد الوسيدي .</t>
  </si>
  <si>
    <t>KFM2020660171466</t>
  </si>
  <si>
    <t>KFM2020660192196</t>
  </si>
  <si>
    <t xml:space="preserve">   مسجد      التقوى .</t>
  </si>
  <si>
    <t>KFM2020660060098</t>
  </si>
  <si>
    <t>KFM2020660037641</t>
  </si>
  <si>
    <t>مسجد / ابن كثير .</t>
  </si>
  <si>
    <t>KFM2020660057783</t>
  </si>
  <si>
    <t xml:space="preserve">   مسجد 6 حي الجزيرة .</t>
  </si>
  <si>
    <t>KFM2120660282721</t>
  </si>
  <si>
    <t>KFM2020660203232</t>
  </si>
  <si>
    <t xml:space="preserve">   مسجد حي اشبيليه .</t>
  </si>
  <si>
    <t>KFM2020660053543</t>
  </si>
  <si>
    <t xml:space="preserve">   مسجد والده السليمي .</t>
  </si>
  <si>
    <t>KFM2020660191845</t>
  </si>
  <si>
    <t xml:space="preserve">   مسجد الشيخ  محمد صالح العثيمين .</t>
  </si>
  <si>
    <t>KFM2020660174322</t>
  </si>
  <si>
    <t>KFM2020660051564</t>
  </si>
  <si>
    <t xml:space="preserve">   مسجد عبدالعزيز الراجحي .</t>
  </si>
  <si>
    <t>KFM2020660190478</t>
  </si>
  <si>
    <t>SMR2220661002776</t>
  </si>
  <si>
    <t>SMR2420868021151</t>
  </si>
  <si>
    <t xml:space="preserve">      وزارة الشئون الاسلاميةوالاوقاف .</t>
  </si>
  <si>
    <t>KFM2020660127561</t>
  </si>
  <si>
    <t xml:space="preserve">   مسجد حي النظيم .</t>
  </si>
  <si>
    <t>KFM2020660191587</t>
  </si>
  <si>
    <t>KFM2020660046428</t>
  </si>
  <si>
    <t xml:space="preserve">   مسجدحي الربيع ومرافقه .</t>
  </si>
  <si>
    <t>KFM2020660213581</t>
  </si>
  <si>
    <t>ﺍﻭﻗﺎﻑ ﻭﻤﺴﺎﺠﺩ ﻀﺭﻤﺎء .</t>
  </si>
  <si>
    <t>KFM2020660209411</t>
  </si>
  <si>
    <t>KFM2120660254626</t>
  </si>
  <si>
    <t>مسجد/حي الشفا .</t>
  </si>
  <si>
    <t>KFM2020660152996</t>
  </si>
  <si>
    <t>SMR2320661033900</t>
  </si>
  <si>
    <t xml:space="preserve">   جامع خالد الجبري .</t>
  </si>
  <si>
    <t>KFM2020660176815</t>
  </si>
  <si>
    <t>KFM2120660255401</t>
  </si>
  <si>
    <t>SMR2220661001531</t>
  </si>
  <si>
    <t>KFM2120660242770</t>
  </si>
  <si>
    <t>SMR2220661018237</t>
  </si>
  <si>
    <t>KFM2020660038802</t>
  </si>
  <si>
    <t>KFM2020660051295</t>
  </si>
  <si>
    <t>مسجد العودة  بالعريجا .</t>
  </si>
  <si>
    <t>KFM2020760072373</t>
  </si>
  <si>
    <t>KFM2120760245256</t>
  </si>
  <si>
    <t xml:space="preserve">   مسجدالامير/عبدالرحمن بن عبدالعزيز .</t>
  </si>
  <si>
    <t>KFM2020660057406</t>
  </si>
  <si>
    <t>0000     مسجد      التقوى .</t>
  </si>
  <si>
    <t>KFM2020660203354</t>
  </si>
  <si>
    <t xml:space="preserve">   مسجد الاحسان .</t>
  </si>
  <si>
    <t>KFM2020660130963</t>
  </si>
  <si>
    <t xml:space="preserve">   مسجدالعثمان. .</t>
  </si>
  <si>
    <t>KFM2020660053293</t>
  </si>
  <si>
    <t>وزاره      الشئون    مسجد الدريهم .</t>
  </si>
  <si>
    <t>KFM2020660098780</t>
  </si>
  <si>
    <t xml:space="preserve">     مسجد الفوزان و سكن امام و مؤذن .</t>
  </si>
  <si>
    <t>KFM2020660060137</t>
  </si>
  <si>
    <t xml:space="preserve">   مسجدال مرزوق .</t>
  </si>
  <si>
    <t>KFM2020660041274</t>
  </si>
  <si>
    <t xml:space="preserve">   مسجد      عبدالعزيز . .</t>
  </si>
  <si>
    <t>KFM2020660207576</t>
  </si>
  <si>
    <t>KFM2020660191652</t>
  </si>
  <si>
    <t>مسجد جامع حي الفواز .</t>
  </si>
  <si>
    <t>KFM2020660051393</t>
  </si>
  <si>
    <t xml:space="preserve">   مسجد  عبدالرحمن بن  عوف .</t>
  </si>
  <si>
    <t>KFM2020660038158</t>
  </si>
  <si>
    <t>مسجد مؤقت  بضاحية  العريجا .</t>
  </si>
  <si>
    <t>KFM2020660201775</t>
  </si>
  <si>
    <t>KFM2120660299515</t>
  </si>
  <si>
    <t xml:space="preserve">   مسجد حي قرطبة . .</t>
  </si>
  <si>
    <t>KFM2020660053465</t>
  </si>
  <si>
    <t>خدمات مسجدالامير متعب بن عبدالله آل سعود .</t>
  </si>
  <si>
    <t>KFM2120660236638</t>
  </si>
  <si>
    <t xml:space="preserve">   مسجد الطويان .</t>
  </si>
  <si>
    <t>KFM2020660169860</t>
  </si>
  <si>
    <t>7  المسجد رقم .</t>
  </si>
  <si>
    <t>KFM2020660011900</t>
  </si>
  <si>
    <t xml:space="preserve">   مسجد الرحمانيه .</t>
  </si>
  <si>
    <t>KFM2120660265972</t>
  </si>
  <si>
    <t>مسجدابراهيم  السبر ووالدية  وزوجتة .</t>
  </si>
  <si>
    <t>KFM2020660115744</t>
  </si>
  <si>
    <t>MMF2420601026025</t>
  </si>
  <si>
    <t>KFM2020660042031</t>
  </si>
  <si>
    <t xml:space="preserve">   مسجد / ابراهيم السلمان .</t>
  </si>
  <si>
    <t>SMR2220661011644</t>
  </si>
  <si>
    <t>SMR2320661022921</t>
  </si>
  <si>
    <t xml:space="preserve">   مسجد/ سليمان العيسى .</t>
  </si>
  <si>
    <t>KFM2020660190501</t>
  </si>
  <si>
    <t xml:space="preserve">   مسجد جبران .</t>
  </si>
  <si>
    <t>KFM2120660299071</t>
  </si>
  <si>
    <t>SMR2220661018937</t>
  </si>
  <si>
    <t xml:space="preserve">   مسجد جوزاء جدي الحريول .</t>
  </si>
  <si>
    <t>KFM2020660174894</t>
  </si>
  <si>
    <t>KFM2020660211248</t>
  </si>
  <si>
    <t>KFM2020660192535</t>
  </si>
  <si>
    <t xml:space="preserve">   مسجد غرب الريان .</t>
  </si>
  <si>
    <t>KFM2020660166497</t>
  </si>
  <si>
    <t xml:space="preserve">   مسجد      الياسمين  . .</t>
  </si>
  <si>
    <t>KFM2020660104277</t>
  </si>
  <si>
    <t xml:space="preserve"> وزارة الشئون الاسلامية والاوقاف(مسجد) .</t>
  </si>
  <si>
    <t>KFM2020660213534</t>
  </si>
  <si>
    <t xml:space="preserve">   مسـجد الراجحـي .</t>
  </si>
  <si>
    <t>KFM2120660256944</t>
  </si>
  <si>
    <t>مسجد/ الامير محمد بن سعود الكبير .</t>
  </si>
  <si>
    <t>KFM2020660198342</t>
  </si>
  <si>
    <t xml:space="preserve">   جامع  هجرة سمحه .</t>
  </si>
  <si>
    <t>KFM2020660211277</t>
  </si>
  <si>
    <t>KFM2020660211476</t>
  </si>
  <si>
    <t>KFM2020660207607</t>
  </si>
  <si>
    <t xml:space="preserve">   مسجدالرميح .</t>
  </si>
  <si>
    <t>KFM2120660282907</t>
  </si>
  <si>
    <t>.    مسجد      الكثيري .</t>
  </si>
  <si>
    <t>KFM2020660054370</t>
  </si>
  <si>
    <t>KFM2020660008704</t>
  </si>
  <si>
    <t xml:space="preserve">   مسجد النور  بحي لبن .</t>
  </si>
  <si>
    <t>KFM2020660211322</t>
  </si>
  <si>
    <t xml:space="preserve">   مسجد      علي       د .</t>
  </si>
  <si>
    <t>KFM2020660188134</t>
  </si>
  <si>
    <t>MMF2420601016333</t>
  </si>
  <si>
    <t>.  مسجد      الثليماء .</t>
  </si>
  <si>
    <t>KFM2020660042380</t>
  </si>
  <si>
    <t>KFM2020660193111</t>
  </si>
  <si>
    <t>مسجد الاميرة  / سارة  بنت سعد .</t>
  </si>
  <si>
    <t>KFM2120660254486</t>
  </si>
  <si>
    <t xml:space="preserve">   مسجد الدائري الجنوبي .</t>
  </si>
  <si>
    <t>KFM2020660057417</t>
  </si>
  <si>
    <t>KFM2020660211318</t>
  </si>
  <si>
    <t xml:space="preserve">   مسجد الرشودى .</t>
  </si>
  <si>
    <t>KFM2020660196517</t>
  </si>
  <si>
    <t xml:space="preserve">   مسجدالفواز .</t>
  </si>
  <si>
    <t>KFM2120660253400</t>
  </si>
  <si>
    <t>KFM2120660271550</t>
  </si>
  <si>
    <t>KFM2020660200465</t>
  </si>
  <si>
    <t xml:space="preserve">   مسجد سليمان الحصيني .</t>
  </si>
  <si>
    <t>KFM2120660287366</t>
  </si>
  <si>
    <t>مسجدالاميرخالدبن سعود .</t>
  </si>
  <si>
    <t>KFM2020660045039</t>
  </si>
  <si>
    <t xml:space="preserve">   مسجد رجاء العتيبي .</t>
  </si>
  <si>
    <t>KFM2020660161276</t>
  </si>
  <si>
    <t>KFM2020660201335</t>
  </si>
  <si>
    <t xml:space="preserve">   مسجد/ابراهيم بن ناصر بن داود .</t>
  </si>
  <si>
    <t>KFM2020660060712</t>
  </si>
  <si>
    <t xml:space="preserve">   مسجدمحمدبن سلطان .</t>
  </si>
  <si>
    <t>KFM2120660257389</t>
  </si>
  <si>
    <t>مسجد حمود بن محمد الصالح .</t>
  </si>
  <si>
    <t>KFM2020660031565</t>
  </si>
  <si>
    <t xml:space="preserve">   مسجد سعد مناحي .</t>
  </si>
  <si>
    <t>KFM2020660161762</t>
  </si>
  <si>
    <t xml:space="preserve">   مسجد ابناءناصر محمد اباالروس .</t>
  </si>
  <si>
    <t>SMR2020850002709</t>
  </si>
  <si>
    <t xml:space="preserve">   مسجد قاسم أحمد .</t>
  </si>
  <si>
    <t>KFM2020660191787</t>
  </si>
  <si>
    <t xml:space="preserve">   مسجد      الرضوان   الرضوان .</t>
  </si>
  <si>
    <t>KFM2020660170817</t>
  </si>
  <si>
    <t xml:space="preserve">   مسجد وسكن   هلال  المشرافي .</t>
  </si>
  <si>
    <t>KFM2020660061253</t>
  </si>
  <si>
    <t>SMR2320661021428</t>
  </si>
  <si>
    <t xml:space="preserve">   جامع الامير/سعد بن تركي .</t>
  </si>
  <si>
    <t>KFM2020660170637</t>
  </si>
  <si>
    <t xml:space="preserve">   مسجد شرق سوق الربوه .</t>
  </si>
  <si>
    <t>KFM2020660129797</t>
  </si>
  <si>
    <t xml:space="preserve">   مسجد عبدالله الراجحي .</t>
  </si>
  <si>
    <t>KFM2120660299588</t>
  </si>
  <si>
    <t xml:space="preserve">   مسجد أحمد بغلف .</t>
  </si>
  <si>
    <t>KFM2020660056784</t>
  </si>
  <si>
    <t>7  مسجد مخطط 8  2 بلك .</t>
  </si>
  <si>
    <t>KFM2020660171732</t>
  </si>
  <si>
    <t xml:space="preserve">  مسجد/عبدالرحمن فهد صالح الكريديس .</t>
  </si>
  <si>
    <t>KFM2120660242173</t>
  </si>
  <si>
    <t>SMR2420661036204</t>
  </si>
  <si>
    <t xml:space="preserve">        مسجد راشد المبارك .</t>
  </si>
  <si>
    <t>KFM2020660206450</t>
  </si>
  <si>
    <t xml:space="preserve">              مسجد وسكن  حي الحمراء .</t>
  </si>
  <si>
    <t>KFM2020660060117</t>
  </si>
  <si>
    <t xml:space="preserve">   مسجد حي السلي .</t>
  </si>
  <si>
    <t>KFM2120660253623</t>
  </si>
  <si>
    <t>وزارة     الشؤون    والأوقاف .</t>
  </si>
  <si>
    <t>KFM2020660051260</t>
  </si>
  <si>
    <t xml:space="preserve">   وزارة الشؤون الا سلا ميه والا وقاف .</t>
  </si>
  <si>
    <t>KFM2020660206921</t>
  </si>
  <si>
    <t>مسجدحي الفواز .</t>
  </si>
  <si>
    <t>KFM2020660202695</t>
  </si>
  <si>
    <t xml:space="preserve">    مسجد      المقبل .</t>
  </si>
  <si>
    <t>KFM2020660057168</t>
  </si>
  <si>
    <t>KFM2020660007001</t>
  </si>
  <si>
    <t xml:space="preserve">   مسجد الشلهوب .</t>
  </si>
  <si>
    <t>KFM2020660213591</t>
  </si>
  <si>
    <t>KFM2120660275747</t>
  </si>
  <si>
    <t>KFM2120660300619</t>
  </si>
  <si>
    <t>SMR2420661038484</t>
  </si>
  <si>
    <t>KFM2020660203749</t>
  </si>
  <si>
    <t>KFM2020660190352</t>
  </si>
  <si>
    <t>KFM2120660249223</t>
  </si>
  <si>
    <t xml:space="preserve">   مسجد الأمير سلمان .</t>
  </si>
  <si>
    <t>KFM2020660042545</t>
  </si>
  <si>
    <t xml:space="preserve">   مسجد حي الروضه .</t>
  </si>
  <si>
    <t>KFM2020660053520</t>
  </si>
  <si>
    <t>KFM2020660192932</t>
  </si>
  <si>
    <t>مسجد ورثة عبدالعزيز بن سعيدان .</t>
  </si>
  <si>
    <t>KFM2020660196435</t>
  </si>
  <si>
    <t>مسجد      ابو       دجانه .</t>
  </si>
  <si>
    <t>KFM2020660200653</t>
  </si>
  <si>
    <t>KFM2020660214082</t>
  </si>
  <si>
    <t xml:space="preserve">   وزارةالشؤون الاسلامية مسجد و سكن .</t>
  </si>
  <si>
    <t>KFM2020660193040</t>
  </si>
  <si>
    <t xml:space="preserve">   وزارة الشؤون الا سلا مية و الا وقاف .</t>
  </si>
  <si>
    <t>KFM2020660196503</t>
  </si>
  <si>
    <t xml:space="preserve">   جامع طيبةالطيبة .</t>
  </si>
  <si>
    <t>KFM2020660141799</t>
  </si>
  <si>
    <t xml:space="preserve">   مسجدضاحيةلبن الثاني .</t>
  </si>
  <si>
    <t>KFM2020660192603</t>
  </si>
  <si>
    <t xml:space="preserve">   مسجد عبدالله الغنام .</t>
  </si>
  <si>
    <t>KFM2020660036389</t>
  </si>
  <si>
    <t>SMR2320661024287</t>
  </si>
  <si>
    <t xml:space="preserve">   وزارةالشئون الاسلاميه/ مسجد السلي .</t>
  </si>
  <si>
    <t>KFM2120660262284</t>
  </si>
  <si>
    <t>KFM2120660270037</t>
  </si>
  <si>
    <t xml:space="preserve">   مسجدالاحمري ومرافقه بظهرة لبن .</t>
  </si>
  <si>
    <t>KFM2120655002732</t>
  </si>
  <si>
    <t>KFM2020660177121</t>
  </si>
  <si>
    <t xml:space="preserve">   مسجدام عبدالله الصانع .</t>
  </si>
  <si>
    <t>KFM2020660202358</t>
  </si>
  <si>
    <t>KFM2020660133831</t>
  </si>
  <si>
    <t>KFM2020660198419</t>
  </si>
  <si>
    <t xml:space="preserve">   وزاره الشؤن الاسلاميه والاوقاف .</t>
  </si>
  <si>
    <t>KFM2020660031225</t>
  </si>
  <si>
    <t xml:space="preserve">   مسجد أبي بكر الصديق .</t>
  </si>
  <si>
    <t>KFM2020660138390</t>
  </si>
  <si>
    <t>KFM2020660213986</t>
  </si>
  <si>
    <t>KFM2020660196580</t>
  </si>
  <si>
    <t xml:space="preserve">   مسجدوالدة سعد الفالح واخوانه .</t>
  </si>
  <si>
    <t>KFM2120660248289</t>
  </si>
  <si>
    <t xml:space="preserve">   جامع الريس    // الموقع العام .</t>
  </si>
  <si>
    <t>KFM2120660253457</t>
  </si>
  <si>
    <t>SMR2320661032955</t>
  </si>
  <si>
    <t>KFM2020660187656</t>
  </si>
  <si>
    <t>مسجدالامير مشعل  بن عبد العزيز .</t>
  </si>
  <si>
    <t>KFM2020660034124</t>
  </si>
  <si>
    <t xml:space="preserve">   جامع وسكن الشيخ عبدالله ال كليب .</t>
  </si>
  <si>
    <t>KFM2020660144710</t>
  </si>
  <si>
    <t>مسجد / الثنيان .</t>
  </si>
  <si>
    <t>KFM2020660203968</t>
  </si>
  <si>
    <t xml:space="preserve">   جامع الهجره .</t>
  </si>
  <si>
    <t>KFM2020760203044</t>
  </si>
  <si>
    <t>KFM2020660098958</t>
  </si>
  <si>
    <t xml:space="preserve">   مسجد والدة محمد بن فيحان الرقاص .</t>
  </si>
  <si>
    <t>KFM2020660031732</t>
  </si>
  <si>
    <t>KFM2020660190150</t>
  </si>
  <si>
    <t xml:space="preserve">   مسجد عوض الحربي .</t>
  </si>
  <si>
    <t>KFM2020660134053</t>
  </si>
  <si>
    <t xml:space="preserve">   مسجد الوادي بالدرعيه .</t>
  </si>
  <si>
    <t>SMR2020850002579</t>
  </si>
  <si>
    <t xml:space="preserve">   مسجد نورة حرم التويجري .</t>
  </si>
  <si>
    <t>KFM2020660188571</t>
  </si>
  <si>
    <t>KFM2020660209213</t>
  </si>
  <si>
    <t>KFM2020660187570</t>
  </si>
  <si>
    <t>مسجد حي الشفاء .</t>
  </si>
  <si>
    <t>KFM2020660200476</t>
  </si>
  <si>
    <t xml:space="preserve">   مسجد النور .</t>
  </si>
  <si>
    <t>KFM2020660129880</t>
  </si>
  <si>
    <t>SMR2020865089398</t>
  </si>
  <si>
    <t>KFM2020660173140</t>
  </si>
  <si>
    <t xml:space="preserve">   مسجدالجزيره .</t>
  </si>
  <si>
    <t>KFM2020660035623</t>
  </si>
  <si>
    <t>KFM2020660049565</t>
  </si>
  <si>
    <t xml:space="preserve">   مسجد عايض فالح البدراني .</t>
  </si>
  <si>
    <t>KFM2020660046494</t>
  </si>
  <si>
    <t xml:space="preserve">   مسجد الهاجري /مؤسسةعلي المسفر .</t>
  </si>
  <si>
    <t>KFM2120660299104</t>
  </si>
  <si>
    <t>KFM2020660176739</t>
  </si>
  <si>
    <t>KFM2020660166797</t>
  </si>
  <si>
    <t>KFM2120660301489</t>
  </si>
  <si>
    <t xml:space="preserve">   مسجد الامير سلطان بن عبد العزيز .</t>
  </si>
  <si>
    <t>KFM2020660166585</t>
  </si>
  <si>
    <t>KFM2020660100037</t>
  </si>
  <si>
    <t>KFM2020660097281</t>
  </si>
  <si>
    <t>KFM2120660302076</t>
  </si>
  <si>
    <t xml:space="preserve">    مسجد  غلاب العتيبي .</t>
  </si>
  <si>
    <t>KFM2020660195082</t>
  </si>
  <si>
    <t>مسجد الدار البيضاء .</t>
  </si>
  <si>
    <t>KFM2020660162240</t>
  </si>
  <si>
    <t>KFM2020660191621</t>
  </si>
  <si>
    <t>SMR2220661007268</t>
  </si>
  <si>
    <t xml:space="preserve">        مسجد ومدرسة سارة الحميزي .</t>
  </si>
  <si>
    <t>KFM2020660129871</t>
  </si>
  <si>
    <t>.    مسجد      الشمسيه .</t>
  </si>
  <si>
    <t>KFM2020660054286</t>
  </si>
  <si>
    <t>KFM2020660007883</t>
  </si>
  <si>
    <t xml:space="preserve">   مسجد      ام        ال .</t>
  </si>
  <si>
    <t>KFM2020660104394</t>
  </si>
  <si>
    <t>KFM2020660211250</t>
  </si>
  <si>
    <t>.    مسجد      الغملاس .</t>
  </si>
  <si>
    <t>KFM2020660202436</t>
  </si>
  <si>
    <t xml:space="preserve">   مسجد الصحابة بحي اشبيليا .</t>
  </si>
  <si>
    <t>KFM2020660191026</t>
  </si>
  <si>
    <t>مسجد الاميره  /موضي السديري .</t>
  </si>
  <si>
    <t>KFM2020660203429</t>
  </si>
  <si>
    <t>مسجد مصعب  بن عمير/ مع سكن .</t>
  </si>
  <si>
    <t>KFM2020660200499</t>
  </si>
  <si>
    <t>مسجد /الصوينع بحي بدر .</t>
  </si>
  <si>
    <t>KFM2020660198449</t>
  </si>
  <si>
    <t xml:space="preserve">   مسجد الامام الذهبي .</t>
  </si>
  <si>
    <t>KFM2120660249326</t>
  </si>
  <si>
    <t>KFM2120660271561</t>
  </si>
  <si>
    <t>SMR2220661002152</t>
  </si>
  <si>
    <t>مسجد /عبدالرحمن بن عوف .</t>
  </si>
  <si>
    <t>KFM2020660060791</t>
  </si>
  <si>
    <t xml:space="preserve">   مسجد ابن سعيدان .</t>
  </si>
  <si>
    <t>KFM2020660037501</t>
  </si>
  <si>
    <t xml:space="preserve">   مسجد حي النخيل .</t>
  </si>
  <si>
    <t>KFM2120660258265</t>
  </si>
  <si>
    <t xml:space="preserve">   مسجد ضاحية القدس .</t>
  </si>
  <si>
    <t>KFM2020660056887</t>
  </si>
  <si>
    <t xml:space="preserve">   مسجد حمد عبدالرحمن العبرة .</t>
  </si>
  <si>
    <t>KFM2020660035152</t>
  </si>
  <si>
    <t xml:space="preserve">   مسجد فطيمة منصور العساف .</t>
  </si>
  <si>
    <t>KFM2120660290426</t>
  </si>
  <si>
    <t xml:space="preserve">   مسجد حي لفيحاء .</t>
  </si>
  <si>
    <t>KFM2120660290495</t>
  </si>
  <si>
    <t>.      مسجد      جابر .</t>
  </si>
  <si>
    <t>KFM2020660043888</t>
  </si>
  <si>
    <t xml:space="preserve">   مسجد حي النور .</t>
  </si>
  <si>
    <t>KFM2120660242216</t>
  </si>
  <si>
    <t xml:space="preserve">   مسجدسعودمحمدالمقبل .</t>
  </si>
  <si>
    <t>KFM2120660274261</t>
  </si>
  <si>
    <t>KFM2120660246999</t>
  </si>
  <si>
    <t xml:space="preserve">   مسجد والدة الملك سعود .</t>
  </si>
  <si>
    <t>KFM2020660019492</t>
  </si>
  <si>
    <t>مسجد ال  صالح .</t>
  </si>
  <si>
    <t>ECC2320831008484</t>
  </si>
  <si>
    <t>MMF2420601020522</t>
  </si>
  <si>
    <t>SMR2320661033557</t>
  </si>
  <si>
    <t>KFM2120655004579</t>
  </si>
  <si>
    <t xml:space="preserve">   مسجد محمد عبدالله الملوحى .</t>
  </si>
  <si>
    <t>KFM2020660099570</t>
  </si>
  <si>
    <t>مسجد جامع  ام  سليم .</t>
  </si>
  <si>
    <t>KFM2020660014236</t>
  </si>
  <si>
    <t xml:space="preserve">   مسجد الملقا وبيتي الامام والمؤذن .</t>
  </si>
  <si>
    <t>KFM2020660127830</t>
  </si>
  <si>
    <t xml:space="preserve">   مســــــــجد / على بن ابى طالب .</t>
  </si>
  <si>
    <t>KFM2020660135772</t>
  </si>
  <si>
    <t xml:space="preserve">   مسجد الصفوة وبيتي الامام والمؤذن .</t>
  </si>
  <si>
    <t>KFM2020660031455</t>
  </si>
  <si>
    <t>المسجد الموقت بحى  الاميرمشعل .</t>
  </si>
  <si>
    <t>KFM2020660175011</t>
  </si>
  <si>
    <t xml:space="preserve">   مسجدالتقوي وبيتي الامام والمؤذن .</t>
  </si>
  <si>
    <t>KFM2120660257450</t>
  </si>
  <si>
    <t>KFM2020660191044</t>
  </si>
  <si>
    <t xml:space="preserve">   مسجد بحي النظيم .</t>
  </si>
  <si>
    <t>KFM2020660145767</t>
  </si>
  <si>
    <t xml:space="preserve">   مسجد / حى المرسلات .</t>
  </si>
  <si>
    <t>KFM2020660187610</t>
  </si>
  <si>
    <t>KFM2020660046514</t>
  </si>
  <si>
    <t>مسجد      محمد      بن عبدالوهاب .</t>
  </si>
  <si>
    <t>KFM2020660171573</t>
  </si>
  <si>
    <t xml:space="preserve">   مسجد ام الحمام الغربيه .</t>
  </si>
  <si>
    <t>KFM2120660300837</t>
  </si>
  <si>
    <t xml:space="preserve">   جامع الشيخ/فهد بن زرعه .</t>
  </si>
  <si>
    <t>KFM2020660053110</t>
  </si>
  <si>
    <t>SMR2220661010812</t>
  </si>
  <si>
    <t xml:space="preserve">   مسجد بن عثيمين .</t>
  </si>
  <si>
    <t>KFM2020660174533</t>
  </si>
  <si>
    <t xml:space="preserve">   مسجد عبدالكريم الدرويش .</t>
  </si>
  <si>
    <t>KFM2020660057979</t>
  </si>
  <si>
    <t xml:space="preserve">   مسجد فهدبن  سلمه .</t>
  </si>
  <si>
    <t>KFM2020660127429</t>
  </si>
  <si>
    <t>مسجد حى  الشفاء .</t>
  </si>
  <si>
    <t>KFM2020660176000</t>
  </si>
  <si>
    <t>مسجد زامل  السليم .</t>
  </si>
  <si>
    <t>KFM2020660152995</t>
  </si>
  <si>
    <t>مسجد      قتيبة      بن مسلم .</t>
  </si>
  <si>
    <t>KFM2020660096104</t>
  </si>
  <si>
    <t>KFM2020660141908</t>
  </si>
  <si>
    <t xml:space="preserve">   مسجد عبدالعزيز حي السلام .</t>
  </si>
  <si>
    <t>KFM2020660036432</t>
  </si>
  <si>
    <t xml:space="preserve">   مسجد الا   ندلس و سكنوالمؤذن .</t>
  </si>
  <si>
    <t>KFM2020660174463</t>
  </si>
  <si>
    <t>KFM2120660249238</t>
  </si>
  <si>
    <t>KFM2020660173945</t>
  </si>
  <si>
    <t>KFM2120660270032</t>
  </si>
  <si>
    <t>KFM2020660060579</t>
  </si>
  <si>
    <t>KFM2020660192926</t>
  </si>
  <si>
    <t>مسجد حى  الجامعين .</t>
  </si>
  <si>
    <t>KFM2020660087496</t>
  </si>
  <si>
    <t xml:space="preserve">   مسجد محمد سعود العجاجي .</t>
  </si>
  <si>
    <t>KFM2020660192549</t>
  </si>
  <si>
    <t xml:space="preserve">   جامع الريس    // مغسلة الأموات .</t>
  </si>
  <si>
    <t>KFM2120660253460</t>
  </si>
  <si>
    <t>وزارة الشئون الاسلامية والاوقاف .</t>
  </si>
  <si>
    <t>KFM2020660173436</t>
  </si>
  <si>
    <t>مسجد سعد المالكى .</t>
  </si>
  <si>
    <t>KFM2020660013610</t>
  </si>
  <si>
    <t>مسجد بلال  بن رباح .</t>
  </si>
  <si>
    <t>KFM2020660142403</t>
  </si>
  <si>
    <t>KFM2020660210766</t>
  </si>
  <si>
    <t xml:space="preserve">   مسجد طارق عبدالرحمن مراد .</t>
  </si>
  <si>
    <t>KFM2120660239083</t>
  </si>
  <si>
    <t>SMR2320661020622</t>
  </si>
  <si>
    <t xml:space="preserve">   مسجدسعودالمغيصيب .</t>
  </si>
  <si>
    <t>KFM2020660197246</t>
  </si>
  <si>
    <t xml:space="preserve">   مسجدالسدحان .</t>
  </si>
  <si>
    <t>KFM2020660192646</t>
  </si>
  <si>
    <t>SMR2220661007837</t>
  </si>
  <si>
    <t xml:space="preserve">   مسجد اسواق بن دايل .</t>
  </si>
  <si>
    <t>KFM2020660161665</t>
  </si>
  <si>
    <t xml:space="preserve">   مسجد عبدالله تركي الضحيان .</t>
  </si>
  <si>
    <t>KFM2020660198948</t>
  </si>
  <si>
    <t xml:space="preserve">   مسجد/ عبدالله البقمي .</t>
  </si>
  <si>
    <t>KFM2020660040639</t>
  </si>
  <si>
    <t>SMR2220661006080</t>
  </si>
  <si>
    <t>SMR2320661034450</t>
  </si>
  <si>
    <t>KFM2020660104187</t>
  </si>
  <si>
    <t xml:space="preserve">   مسجد حي الياسمين .</t>
  </si>
  <si>
    <t>KFM2020660145556</t>
  </si>
  <si>
    <t>مسجد خبيب  بن عدي .</t>
  </si>
  <si>
    <t>KFM2020660191096</t>
  </si>
  <si>
    <t>KFM2020660051568</t>
  </si>
  <si>
    <t xml:space="preserve">   مسجد/ حي الخليج .</t>
  </si>
  <si>
    <t>KFM2020660047147</t>
  </si>
  <si>
    <t xml:space="preserve">   مسجد فاطمه الفيروز .</t>
  </si>
  <si>
    <t>KFM2020660011830</t>
  </si>
  <si>
    <t>مسجدالاميرة  الجوهرة  بنت تركى .</t>
  </si>
  <si>
    <t>KFM2020660051603</t>
  </si>
  <si>
    <t>KFM2020660196922</t>
  </si>
  <si>
    <t xml:space="preserve">         مسجدسليمان القزلان حىالفلاح .</t>
  </si>
  <si>
    <t>KFM2020660214092</t>
  </si>
  <si>
    <t xml:space="preserve">   جامع باجد .</t>
  </si>
  <si>
    <t>KFM2020660145764</t>
  </si>
  <si>
    <t xml:space="preserve">   مسجد ماجد الماجد .</t>
  </si>
  <si>
    <t>KFM2020660190894</t>
  </si>
  <si>
    <t>KFM2120655001342</t>
  </si>
  <si>
    <t xml:space="preserve">   مسجدعمربن عبدالعزيز .</t>
  </si>
  <si>
    <t>KFM2120660247885</t>
  </si>
  <si>
    <t>KFM2120660270020</t>
  </si>
  <si>
    <t xml:space="preserve">   مسجد صالح الفوزان .</t>
  </si>
  <si>
    <t>KFM2120660270412</t>
  </si>
  <si>
    <t xml:space="preserve">   مسجد محمد السحيباني .</t>
  </si>
  <si>
    <t>KFM2020660127231</t>
  </si>
  <si>
    <t>KFM2020660170640</t>
  </si>
  <si>
    <t>مسجد الاميرمنصور بن عبد العزيز .</t>
  </si>
  <si>
    <t>KFM2020660203004</t>
  </si>
  <si>
    <t xml:space="preserve">   مسجد حي المنار .</t>
  </si>
  <si>
    <t>SMR2220621002000</t>
  </si>
  <si>
    <t xml:space="preserve">   وزارة الشئون الاسلاميه مسجد المقيط .</t>
  </si>
  <si>
    <t>KFM2120660262374</t>
  </si>
  <si>
    <t>.  مسجد      بن رويشد .</t>
  </si>
  <si>
    <t>KFM2020660201734</t>
  </si>
  <si>
    <t>KFM2120660257448</t>
  </si>
  <si>
    <t xml:space="preserve">   مسجد حي المناخ /مؤسسة الحرمين .</t>
  </si>
  <si>
    <t>KFM2120660264438</t>
  </si>
  <si>
    <t xml:space="preserve">   مسجد ابراهيم السويلم .</t>
  </si>
  <si>
    <t>KFM2020660209177</t>
  </si>
  <si>
    <t>SMR2220661007889</t>
  </si>
  <si>
    <t>جامع الشيخ  معزي   وزارة  الشئون .</t>
  </si>
  <si>
    <t>KFM2020660203563</t>
  </si>
  <si>
    <t>KFM2020660193620</t>
  </si>
  <si>
    <t>SMR2220661000139</t>
  </si>
  <si>
    <t xml:space="preserve">   مسجد الخليج .</t>
  </si>
  <si>
    <t>KFM2020660190973</t>
  </si>
  <si>
    <t>KFM2020660191811</t>
  </si>
  <si>
    <t xml:space="preserve">   مسجد      زياد      وزوجته عتقاء .</t>
  </si>
  <si>
    <t>KFM2020660193470</t>
  </si>
  <si>
    <t xml:space="preserve">   مسجد      احمد      القبس .</t>
  </si>
  <si>
    <t>KFM2020660187667</t>
  </si>
  <si>
    <t>KFM2020660200444</t>
  </si>
  <si>
    <t xml:space="preserve">   جامع وبيتالاماموالمؤذن/الأميرةنورة .</t>
  </si>
  <si>
    <t>KFM2120660240831</t>
  </si>
  <si>
    <t xml:space="preserve">   مسجد حي المغرزات .</t>
  </si>
  <si>
    <t>KFM2020660189288</t>
  </si>
  <si>
    <t xml:space="preserve">   مسجد علي القحطاني .</t>
  </si>
  <si>
    <t>KFM2120660256836</t>
  </si>
  <si>
    <t>KFM2020660051674</t>
  </si>
  <si>
    <t>KFM2020660054517</t>
  </si>
  <si>
    <t xml:space="preserve">   مسجد الليث بن سعد رضي الله عنه .</t>
  </si>
  <si>
    <t>KFM2020660187943</t>
  </si>
  <si>
    <t>KFM2120660268846</t>
  </si>
  <si>
    <t xml:space="preserve">   مسجد / الفاروق .</t>
  </si>
  <si>
    <t>KFM2120660301486</t>
  </si>
  <si>
    <t xml:space="preserve">   مسجد حي الرفيعه .</t>
  </si>
  <si>
    <t>KFM2020660202740</t>
  </si>
  <si>
    <t>مسجد عمربن عبدالعزيز .</t>
  </si>
  <si>
    <t>KFM2020660203490</t>
  </si>
  <si>
    <t>مسجد هزاع  ابورميل .</t>
  </si>
  <si>
    <t>KFM2020660015379</t>
  </si>
  <si>
    <t xml:space="preserve">   مسجد      ركيب      الكود .</t>
  </si>
  <si>
    <t>KFM2020660042412</t>
  </si>
  <si>
    <t>KFM2120655004334</t>
  </si>
  <si>
    <t>KFM2020660202940</t>
  </si>
  <si>
    <t xml:space="preserve">   مسجد حصة بنت صالح العلى السالم .</t>
  </si>
  <si>
    <t>KFM2020660056917</t>
  </si>
  <si>
    <t>SMR2220661006809</t>
  </si>
  <si>
    <t>ﺍﻭﻗﺎﻑ ﻭﻤﺴﺎﺠﺩ ﺍﻟﻤﺯﺍﺤﻤﻴﻩ .</t>
  </si>
  <si>
    <t>GTR2320890741175</t>
  </si>
  <si>
    <t>KFM2020660208095</t>
  </si>
  <si>
    <t xml:space="preserve">   مسجد ابو بكر الصديق .</t>
  </si>
  <si>
    <t>KFM2020660132820</t>
  </si>
  <si>
    <t xml:space="preserve">   مسجد سهيل بن عمرو .</t>
  </si>
  <si>
    <t>KFM2120660273470</t>
  </si>
  <si>
    <t>مسجد المروه .</t>
  </si>
  <si>
    <t>KFM2020660201751</t>
  </si>
  <si>
    <t>مسجد سلطانه .</t>
  </si>
  <si>
    <t>KFM2120660303311</t>
  </si>
  <si>
    <t>مسجد جناده  بن مالك .</t>
  </si>
  <si>
    <t>KFM2020660043893</t>
  </si>
  <si>
    <t xml:space="preserve">   مسجد الامام/ عبد الله بن المبارك .</t>
  </si>
  <si>
    <t>KFM2120655004161</t>
  </si>
  <si>
    <t>KFM2020660207553</t>
  </si>
  <si>
    <t xml:space="preserve">   مسجد بلشرف .</t>
  </si>
  <si>
    <t>KFM2020660209146</t>
  </si>
  <si>
    <t xml:space="preserve">  مسجد شركه عبدالعزيز و محمد الجميح .</t>
  </si>
  <si>
    <t>KFM2020660201416</t>
  </si>
  <si>
    <t xml:space="preserve">      مسجد   محمد   صالح    العتيبي .</t>
  </si>
  <si>
    <t>KFM2020660174810</t>
  </si>
  <si>
    <t>مسجد      جامع      حي بدر .</t>
  </si>
  <si>
    <t>KFM2020660208162</t>
  </si>
  <si>
    <t>KFM2120660286878</t>
  </si>
  <si>
    <t>مسجد راشد محمد بن دايل .</t>
  </si>
  <si>
    <t>KFM2020760091913</t>
  </si>
  <si>
    <t>KFM2020660174816</t>
  </si>
  <si>
    <t>SMR2220761012366</t>
  </si>
  <si>
    <t>مسجد      ضاحيه      لبن .</t>
  </si>
  <si>
    <t>KFM2020660057785</t>
  </si>
  <si>
    <t xml:space="preserve">   مسجد / محمد بن صالح العذل .</t>
  </si>
  <si>
    <t>KFM2020660144580</t>
  </si>
  <si>
    <t xml:space="preserve">   مسجدوالدة الامير سعد محمدال سعود .</t>
  </si>
  <si>
    <t>KFM2020660052077</t>
  </si>
  <si>
    <t xml:space="preserve">   مسجد مسفر العتيبي .</t>
  </si>
  <si>
    <t>KFM2020660049709</t>
  </si>
  <si>
    <t>.  مسجد      ابن ماجد .</t>
  </si>
  <si>
    <t>KFM2020660096738</t>
  </si>
  <si>
    <t xml:space="preserve">   مسجد الا ميرة نورة بنت مشعل .</t>
  </si>
  <si>
    <t>KFM2020660139693</t>
  </si>
  <si>
    <t>KFM2020660174804</t>
  </si>
  <si>
    <t>KFM2020660047308</t>
  </si>
  <si>
    <t xml:space="preserve">   مسجد حي الروابي .</t>
  </si>
  <si>
    <t>KFM2020660193634</t>
  </si>
  <si>
    <t xml:space="preserve">   مسجد  على شارع رقم 4 .</t>
  </si>
  <si>
    <t>KFM2120660260342</t>
  </si>
  <si>
    <t>مسجد / حمد المغيره .</t>
  </si>
  <si>
    <t>KFM2020660039990</t>
  </si>
  <si>
    <t>مسجد      خالد      السلمان .</t>
  </si>
  <si>
    <t>KFM2020660039370</t>
  </si>
  <si>
    <t>SMR2220661000424</t>
  </si>
  <si>
    <t xml:space="preserve">   مسجدغليفص بسوق البطحاء .</t>
  </si>
  <si>
    <t>KFM2020660047690</t>
  </si>
  <si>
    <t>مسجد وضحى  السهلي .</t>
  </si>
  <si>
    <t>KFM2020660098910</t>
  </si>
  <si>
    <t>مسجد الحزم  وزاره  الشئون الاسلاميه .</t>
  </si>
  <si>
    <t>KFM2020660174995</t>
  </si>
  <si>
    <t>KFM2020660037503</t>
  </si>
  <si>
    <t>مسجدشيخ  الاسلام  بن تيميه .</t>
  </si>
  <si>
    <t>KFM2020660203967</t>
  </si>
  <si>
    <t xml:space="preserve">   مسجد      محمد      الموسى .</t>
  </si>
  <si>
    <t>KFM2020660198005</t>
  </si>
  <si>
    <t xml:space="preserve">   مسجد الامير مشعل بن عبدالعزيز .</t>
  </si>
  <si>
    <t>SMR2420661035986</t>
  </si>
  <si>
    <t xml:space="preserve">   مسجدالاميرهطرفه بنت  بن عبدالرحمن .</t>
  </si>
  <si>
    <t>KFM2020660091243</t>
  </si>
  <si>
    <t xml:space="preserve">   مسجد شيخة بنت عبدالعزيز .</t>
  </si>
  <si>
    <t>KFM2020660188810</t>
  </si>
  <si>
    <t>KFM2020660193741</t>
  </si>
  <si>
    <t xml:space="preserve">   مسجد(12) محمد ابراهيم العياف .</t>
  </si>
  <si>
    <t>KFM2120660271618</t>
  </si>
  <si>
    <t>مسجد الشيخ  سعد الحامد .</t>
  </si>
  <si>
    <t>KFM2020660038864</t>
  </si>
  <si>
    <t>KFM2020660202987</t>
  </si>
  <si>
    <t xml:space="preserve">   مسجد      حي        النسيم .</t>
  </si>
  <si>
    <t>KFM2020660061154</t>
  </si>
  <si>
    <t>KFM2020660198304</t>
  </si>
  <si>
    <t xml:space="preserve">   مسجدمعهد الاداره العامه .</t>
  </si>
  <si>
    <t>KFM2120660242785</t>
  </si>
  <si>
    <t>مسجدالنعيم .</t>
  </si>
  <si>
    <t>KFM2020660098941</t>
  </si>
  <si>
    <t>KFM2020660174492</t>
  </si>
  <si>
    <t>KFM2020660202454</t>
  </si>
  <si>
    <t>SMR2420661038947</t>
  </si>
  <si>
    <t>مسجدبن مغيثر .</t>
  </si>
  <si>
    <t>KFM2020660203497</t>
  </si>
  <si>
    <t xml:space="preserve">   مسجد      عبدالرحمن السكن .</t>
  </si>
  <si>
    <t>KFM2020660053506</t>
  </si>
  <si>
    <t>KFM2020660145887</t>
  </si>
  <si>
    <t>مسجد      عبداللطيف  حي البديعه .</t>
  </si>
  <si>
    <t>KFM2020660053870</t>
  </si>
  <si>
    <t>KFM2020660197070</t>
  </si>
  <si>
    <t xml:space="preserve">   مسجد عبدالله الاعرج .</t>
  </si>
  <si>
    <t>KFM2120660235656</t>
  </si>
  <si>
    <t xml:space="preserve">   مسجد لولوهبنت سليمان المديهيم .</t>
  </si>
  <si>
    <t>KFM2120660270081</t>
  </si>
  <si>
    <t>مسجد مخطط الاميرعبدالرحمن بن عبدالله .</t>
  </si>
  <si>
    <t>KFM2020660025748</t>
  </si>
  <si>
    <t>KFM2020660051567</t>
  </si>
  <si>
    <t xml:space="preserve">   مسجد / محمد صالح الرويلي .</t>
  </si>
  <si>
    <t>KFM2020660060140</t>
  </si>
  <si>
    <t xml:space="preserve">   مسجد الشريف طراد الحارثي .</t>
  </si>
  <si>
    <t>KFM2020660041686</t>
  </si>
  <si>
    <t>SMR2320661028741</t>
  </si>
  <si>
    <t xml:space="preserve">   مسجد خديجة بنت خويلد .</t>
  </si>
  <si>
    <t>KFM2120660270076</t>
  </si>
  <si>
    <t xml:space="preserve">   مسجد محمد لافي الحربي+ سكن +مدرسه .</t>
  </si>
  <si>
    <t>KFM2020660176385</t>
  </si>
  <si>
    <t xml:space="preserve">   مسجدالزبيربن العوام بحي التعاون .</t>
  </si>
  <si>
    <t>KFM2020660173841</t>
  </si>
  <si>
    <t>KFM2020660207552</t>
  </si>
  <si>
    <t xml:space="preserve">   مسجدالخزامى ( بحي الخزامى ) .</t>
  </si>
  <si>
    <t>KFM2020660035309</t>
  </si>
  <si>
    <t>KFM2020660104816</t>
  </si>
  <si>
    <t>مسجد ابن عواد .</t>
  </si>
  <si>
    <t>KFM2020660098806</t>
  </si>
  <si>
    <t xml:space="preserve">   مسجد حي المليحيه .</t>
  </si>
  <si>
    <t>KFM2020660040867</t>
  </si>
  <si>
    <t>KFM2020660197987</t>
  </si>
  <si>
    <t>KFM2020660174819</t>
  </si>
  <si>
    <t>مسجد سعود الدوسري .</t>
  </si>
  <si>
    <t>KFM2020660196973</t>
  </si>
  <si>
    <t xml:space="preserve">   مسجد عمربن عبدالعزيزومرافقه .</t>
  </si>
  <si>
    <t>KFM2020660192576</t>
  </si>
  <si>
    <t>SMR2220621000877</t>
  </si>
  <si>
    <t xml:space="preserve">   مسجد هيا الحسن ومرافقه بحي الفلاح .</t>
  </si>
  <si>
    <t>KFM2020660213478</t>
  </si>
  <si>
    <t xml:space="preserve">   مسجد/الشيخ صالح عبدالله السدلان .</t>
  </si>
  <si>
    <t>KFM2020660167513</t>
  </si>
  <si>
    <t>KFM2020660054382</t>
  </si>
  <si>
    <t>KFM2020660200398</t>
  </si>
  <si>
    <t>KFM2020660192882</t>
  </si>
  <si>
    <t xml:space="preserve">   مسجد بحي اليرموك .</t>
  </si>
  <si>
    <t>KFM2020660053591</t>
  </si>
  <si>
    <t xml:space="preserve">   مسجد عبدالرحمن بن صالح البراهيم .</t>
  </si>
  <si>
    <t>KFM2020660211329</t>
  </si>
  <si>
    <t>مسجد /ماجدالقحطانى .</t>
  </si>
  <si>
    <t>KFM2020660200435</t>
  </si>
  <si>
    <t>مسجد      .         الثنيان .</t>
  </si>
  <si>
    <t>KFM2020660019104</t>
  </si>
  <si>
    <t xml:space="preserve">   مسجد سالم عبدالرحمن السالم .</t>
  </si>
  <si>
    <t>KFM2120660267475</t>
  </si>
  <si>
    <t>KFM2020660211473</t>
  </si>
  <si>
    <t xml:space="preserve">   وزارة الشئون الاسلاميةوالاوقاف .</t>
  </si>
  <si>
    <t>KFM2120660254550</t>
  </si>
  <si>
    <t>KFM2020660035616</t>
  </si>
  <si>
    <t xml:space="preserve">   وزارة الشئون الاسلاميه مسجد النخيل .</t>
  </si>
  <si>
    <t>KFM2020660019708</t>
  </si>
  <si>
    <t>KFM2020660036451</t>
  </si>
  <si>
    <t>KFM2020660187550</t>
  </si>
  <si>
    <t>KFM2020660004072</t>
  </si>
  <si>
    <t xml:space="preserve">   مسجد رقم 16 .</t>
  </si>
  <si>
    <t>KFM2120660304065</t>
  </si>
  <si>
    <t xml:space="preserve">   مسجد الهدا .</t>
  </si>
  <si>
    <t>KFM2120660252433</t>
  </si>
  <si>
    <t xml:space="preserve">   مسجد الحبيبيه بالدرعيه .</t>
  </si>
  <si>
    <t>ECC2020811047380</t>
  </si>
  <si>
    <t xml:space="preserve">   جامع الأ ميرة العنود .</t>
  </si>
  <si>
    <t>KFM2120660257437</t>
  </si>
  <si>
    <t xml:space="preserve">   مسجد المليفي  بحي لبن .</t>
  </si>
  <si>
    <t>KFM2020660211323</t>
  </si>
  <si>
    <t>SMR2320661034008</t>
  </si>
  <si>
    <t>KFM2020660231160</t>
  </si>
  <si>
    <t>KFM2020660038844</t>
  </si>
  <si>
    <t>مسجدالخراشي .</t>
  </si>
  <si>
    <t>KFM2020660177037</t>
  </si>
  <si>
    <t>مسجد بحي الحزم .</t>
  </si>
  <si>
    <t>KFM2020660098894</t>
  </si>
  <si>
    <t xml:space="preserve">   مسجد  ابو  ذر الغفاري .</t>
  </si>
  <si>
    <t>KFM2020660054758</t>
  </si>
  <si>
    <t xml:space="preserve">   مسجد لطيفة عبدالله آل الشيخ .</t>
  </si>
  <si>
    <t>KFM2020660173721</t>
  </si>
  <si>
    <t>مسجد      .         الهويمل .</t>
  </si>
  <si>
    <t>KFM2020660025691</t>
  </si>
  <si>
    <t>KFM2120660304274</t>
  </si>
  <si>
    <t xml:space="preserve">   مسجد المغامس وسكن الامام والمؤذن .</t>
  </si>
  <si>
    <t>KFM2020660191351</t>
  </si>
  <si>
    <t>KFM2020660046425</t>
  </si>
  <si>
    <t xml:space="preserve">   مسجد فيصل الثاني .</t>
  </si>
  <si>
    <t>KFM2020660167816</t>
  </si>
  <si>
    <t>مسجد      جامع      شبرا .</t>
  </si>
  <si>
    <t>KFM2020660049448</t>
  </si>
  <si>
    <t xml:space="preserve">   مسجد شمال غرب العاب الحكير .</t>
  </si>
  <si>
    <t>KFM2120660299219</t>
  </si>
  <si>
    <t>KFM2020660190846</t>
  </si>
  <si>
    <t xml:space="preserve">   وزارة     الشئون    والاواقاف .</t>
  </si>
  <si>
    <t>KFM2020660211316</t>
  </si>
  <si>
    <t>KFM2020660037819</t>
  </si>
  <si>
    <t>مسجد الخراشي .</t>
  </si>
  <si>
    <t>KFM2020660052780</t>
  </si>
  <si>
    <t>KFM2020660198474</t>
  </si>
  <si>
    <t>KFM2020660061159</t>
  </si>
  <si>
    <t xml:space="preserve">   مسجد حي الفيحاء .</t>
  </si>
  <si>
    <t>KFM2120660271672</t>
  </si>
  <si>
    <t xml:space="preserve">   مسجد وزارة الدفاع .</t>
  </si>
  <si>
    <t>KFM2120660303078</t>
  </si>
  <si>
    <t>SMR2320661034947</t>
  </si>
  <si>
    <t>KFM2120660262531</t>
  </si>
  <si>
    <t>.     مسجد      القاسم .</t>
  </si>
  <si>
    <t>KFM2020660203426</t>
  </si>
  <si>
    <t xml:space="preserve">   مسجد حي الربوه .</t>
  </si>
  <si>
    <t>SMR2020850104677</t>
  </si>
  <si>
    <t xml:space="preserve">   مسجد على القحطانى .</t>
  </si>
  <si>
    <t>KFM2120660304897</t>
  </si>
  <si>
    <t xml:space="preserve">   مسجد الاخلاص .</t>
  </si>
  <si>
    <t>KFM2020660195094</t>
  </si>
  <si>
    <t xml:space="preserve">   مسجد حي المرسلات .</t>
  </si>
  <si>
    <t>KFM2020660174115</t>
  </si>
  <si>
    <t xml:space="preserve">   جامع الشيخ محمد الدغيثر .</t>
  </si>
  <si>
    <t>KFM2020660165396</t>
  </si>
  <si>
    <t>KFM2020660198565</t>
  </si>
  <si>
    <t>مسجد الشويعر .</t>
  </si>
  <si>
    <t>KFM2020660015370</t>
  </si>
  <si>
    <t>KFM2020660042242</t>
  </si>
  <si>
    <t>مسجد بلك  4بالدخل  المحدود .</t>
  </si>
  <si>
    <t>KFM2020660201708</t>
  </si>
  <si>
    <t>KFM2020660188957</t>
  </si>
  <si>
    <t xml:space="preserve">   مسجد حي ظهرة لبن .</t>
  </si>
  <si>
    <t>KFM2020660197969</t>
  </si>
  <si>
    <t>KFM2020660098728</t>
  </si>
  <si>
    <t xml:space="preserve">   مسجد السديس .</t>
  </si>
  <si>
    <t>KFM2020660036484</t>
  </si>
  <si>
    <t>مسجد عبدالعزيز عبدالله  المبدل .</t>
  </si>
  <si>
    <t>KFM2020660013279</t>
  </si>
  <si>
    <t>KFM2020660211470</t>
  </si>
  <si>
    <t xml:space="preserve">   مسجد كيلو 3 بالنسيم(مسجد التوحيد .</t>
  </si>
  <si>
    <t>KFM2120660239331</t>
  </si>
  <si>
    <t xml:space="preserve">   مسجد ابي بكر الصديق .</t>
  </si>
  <si>
    <t>KFM2120660281979</t>
  </si>
  <si>
    <t>KFM2020660232898</t>
  </si>
  <si>
    <t>SMR2220661006894</t>
  </si>
  <si>
    <t>KFM2020660039711</t>
  </si>
  <si>
    <t xml:space="preserve">   مسجد الشهيد ايمن الفتى .</t>
  </si>
  <si>
    <t>KFM2120660247053</t>
  </si>
  <si>
    <t xml:space="preserve">   مسجد صالح الأطرم .</t>
  </si>
  <si>
    <t>KFM2020660132578</t>
  </si>
  <si>
    <t xml:space="preserve">   مسجد المصيريعى 5/2777</t>
  </si>
  <si>
    <t>KFM2120660301611</t>
  </si>
  <si>
    <t>مسجد/البديعة ـ المخطط السادس عشر .</t>
  </si>
  <si>
    <t>KFM2020660171567</t>
  </si>
  <si>
    <t>KFM2020660052625</t>
  </si>
  <si>
    <t xml:space="preserve">   مسجد علي بن أبي طالب .</t>
  </si>
  <si>
    <t>KFM2020660190914</t>
  </si>
  <si>
    <t>SMR2220661006996</t>
  </si>
  <si>
    <t xml:space="preserve">   مسجد السلي .</t>
  </si>
  <si>
    <t>KFM2120660305335</t>
  </si>
  <si>
    <t>KFM2020660171572</t>
  </si>
  <si>
    <t xml:space="preserve">   مسجد      ابن       . .</t>
  </si>
  <si>
    <t>KFM2020660197965</t>
  </si>
  <si>
    <t>مسجد عبدالله  الراجحى .</t>
  </si>
  <si>
    <t>KFM2020660013846</t>
  </si>
  <si>
    <t>مسجد      حي        نمار .</t>
  </si>
  <si>
    <t>KFM2020660054308</t>
  </si>
  <si>
    <t>مسجدسعيدمحمدالزهراني .</t>
  </si>
  <si>
    <t>KFM2020660170956</t>
  </si>
  <si>
    <t>KFM2020660193112</t>
  </si>
  <si>
    <t>KFM2020660211371</t>
  </si>
  <si>
    <t xml:space="preserve">   مسجدناصرابراهيم التمامي .</t>
  </si>
  <si>
    <t>KFM2020660197722</t>
  </si>
  <si>
    <t xml:space="preserve">   جامع القدس .</t>
  </si>
  <si>
    <t>KFM2020660170873</t>
  </si>
  <si>
    <t xml:space="preserve">   مسجدالاميرعبدالرحمن بن عبدالله .</t>
  </si>
  <si>
    <t>KFM2020660232932</t>
  </si>
  <si>
    <t>KFM2020660198310</t>
  </si>
  <si>
    <t>KFM2020660174861</t>
  </si>
  <si>
    <t>SMR2220661018667</t>
  </si>
  <si>
    <t xml:space="preserve">   مسجد      صالح      الرضيان .</t>
  </si>
  <si>
    <t>KFM2120660268053</t>
  </si>
  <si>
    <t xml:space="preserve">   مسجدالهداية .</t>
  </si>
  <si>
    <t>KFM2120660270273</t>
  </si>
  <si>
    <t>KFM2120660270373</t>
  </si>
  <si>
    <t xml:space="preserve">   مسجد السلام .</t>
  </si>
  <si>
    <t>KFM2020660045987</t>
  </si>
  <si>
    <t xml:space="preserve">   مسجدجامع السليمانيه .</t>
  </si>
  <si>
    <t>KFM2020660197778</t>
  </si>
  <si>
    <t>KFM2120660242067</t>
  </si>
  <si>
    <t>مسجد      اسامه      بن زيد .</t>
  </si>
  <si>
    <t>KFM2020660171782</t>
  </si>
  <si>
    <t xml:space="preserve">   مسجد الروابي .</t>
  </si>
  <si>
    <t>KFM2020660232842</t>
  </si>
  <si>
    <t>KFM2020660192907</t>
  </si>
  <si>
    <t>KFM2020660171292</t>
  </si>
  <si>
    <t xml:space="preserve">   مسجد محمد الحبيب .</t>
  </si>
  <si>
    <t>KFM2020660211209</t>
  </si>
  <si>
    <t>مسجد حي الحزم .</t>
  </si>
  <si>
    <t>KFM2020660027246</t>
  </si>
  <si>
    <t>KFM2020660202931</t>
  </si>
  <si>
    <t xml:space="preserve">   مسجد ابوبكر الصديق .</t>
  </si>
  <si>
    <t>KFM2020660192234</t>
  </si>
  <si>
    <t xml:space="preserve">   مسجدابن رجب الحنبلي .</t>
  </si>
  <si>
    <t>KFM2120660271667</t>
  </si>
  <si>
    <t>KFM2020660046528</t>
  </si>
  <si>
    <t xml:space="preserve">  مسجد  الثمريه   الفيصل .</t>
  </si>
  <si>
    <t>KFM2020660013843</t>
  </si>
  <si>
    <t>KFM2120660303312</t>
  </si>
  <si>
    <t>KFM2020660174150</t>
  </si>
  <si>
    <t>KFM2020660054243</t>
  </si>
  <si>
    <t xml:space="preserve">   جامع الدار البيضاء .</t>
  </si>
  <si>
    <t>KFM2020660229316</t>
  </si>
  <si>
    <t xml:space="preserve">   مسجد مصعب بن عمير .</t>
  </si>
  <si>
    <t>KFM2020660161582</t>
  </si>
  <si>
    <t>مسجد عباس .</t>
  </si>
  <si>
    <t>KFM2020660056059</t>
  </si>
  <si>
    <t>SMR2220661018623</t>
  </si>
  <si>
    <t xml:space="preserve">   مسجد الهاجرى .</t>
  </si>
  <si>
    <t>KFM2020660169817</t>
  </si>
  <si>
    <t xml:space="preserve">   مسجد الشيخ عبدالعزيز ال الشيخ .</t>
  </si>
  <si>
    <t>KFM2020660174026</t>
  </si>
  <si>
    <t xml:space="preserve">   مسجد فهد المقيل .</t>
  </si>
  <si>
    <t>KFM2120660262691</t>
  </si>
  <si>
    <t>المسجد الموقت بالعريجا .</t>
  </si>
  <si>
    <t>KFM2020660203505</t>
  </si>
  <si>
    <t>SMR2320661020739</t>
  </si>
  <si>
    <t xml:space="preserve">   مسجد حي المطار .</t>
  </si>
  <si>
    <t>KFM2020660040847</t>
  </si>
  <si>
    <t>SMR2220661011699</t>
  </si>
  <si>
    <t xml:space="preserve">   مسجد الامام احمد بن حنبل .</t>
  </si>
  <si>
    <t>KFM2020660162948</t>
  </si>
  <si>
    <t>مسجدالشيخ  محمد بن عبد الوهاب .</t>
  </si>
  <si>
    <t>KFM2020660038791</t>
  </si>
  <si>
    <t>MMF2420601025688</t>
  </si>
  <si>
    <t>KFM2020660201108</t>
  </si>
  <si>
    <t xml:space="preserve">   مسجد حى المصيف .</t>
  </si>
  <si>
    <t>KFM2020660170861</t>
  </si>
  <si>
    <t>مسجد الحمادى .</t>
  </si>
  <si>
    <t>KFM2020660170961</t>
  </si>
  <si>
    <t xml:space="preserve">   مسجد حي الأندلس .</t>
  </si>
  <si>
    <t>KFM2020660139698</t>
  </si>
  <si>
    <t>KFM2120660285054</t>
  </si>
  <si>
    <t xml:space="preserve">   مسجد الزيد بحي المروج .</t>
  </si>
  <si>
    <t>KFM2020660173420</t>
  </si>
  <si>
    <t xml:space="preserve">   مسجد حي الربيع وسكن الامام والمؤذ .</t>
  </si>
  <si>
    <t>KFM2120660264381</t>
  </si>
  <si>
    <t xml:space="preserve">   مسجد  ابراهيم الوزان .</t>
  </si>
  <si>
    <t>KFM2120660274162</t>
  </si>
  <si>
    <t xml:space="preserve">   مسجد اليسرى .</t>
  </si>
  <si>
    <t>KFM2020660192577</t>
  </si>
  <si>
    <t xml:space="preserve">   مسجد ذو النورين .</t>
  </si>
  <si>
    <t>KFM2120660293669</t>
  </si>
  <si>
    <t xml:space="preserve">   مسجد عبدالله الرشيد .</t>
  </si>
  <si>
    <t>KFM2020660143136</t>
  </si>
  <si>
    <t>مسجد بالعمارية .</t>
  </si>
  <si>
    <t>KFM2020660202997</t>
  </si>
  <si>
    <t>KFM2020660192906</t>
  </si>
  <si>
    <t>KFM2020660176819</t>
  </si>
  <si>
    <t>KFM2020660206924</t>
  </si>
  <si>
    <t xml:space="preserve">   مسحد      الشثري    ء .</t>
  </si>
  <si>
    <t>KFM2020660173016</t>
  </si>
  <si>
    <t>KFM2020660162852</t>
  </si>
  <si>
    <t xml:space="preserve">   مسجدالفرقان .</t>
  </si>
  <si>
    <t>KFM2020660041178</t>
  </si>
  <si>
    <t xml:space="preserve">   مسجد الياسمين .</t>
  </si>
  <si>
    <t>KFM2120660240863</t>
  </si>
  <si>
    <t>.   /  مسجد جنوب  عتيقة .</t>
  </si>
  <si>
    <t>KFM2020660168521</t>
  </si>
  <si>
    <t xml:space="preserve">   مسجد المقيل .</t>
  </si>
  <si>
    <t>KFM2020660090733</t>
  </si>
  <si>
    <t>SMR2420668001363</t>
  </si>
  <si>
    <t>SMR2220661000665</t>
  </si>
  <si>
    <t>KFM2020660038843</t>
  </si>
  <si>
    <t>SMR2320661029541</t>
  </si>
  <si>
    <t xml:space="preserve">    مسجد وسكن  نوره    الشقير .</t>
  </si>
  <si>
    <t>KFM2020660190931</t>
  </si>
  <si>
    <t>KFM2020660046436</t>
  </si>
  <si>
    <t>مسجد  عبير ال  الشيخ   مع السكن .</t>
  </si>
  <si>
    <t>KFM2020660200539</t>
  </si>
  <si>
    <t>KFM2020660211245</t>
  </si>
  <si>
    <t>SMR2320661031242</t>
  </si>
  <si>
    <t>SMR2220621001846</t>
  </si>
  <si>
    <t xml:space="preserve">   مسجد عبدالله بن عمر .</t>
  </si>
  <si>
    <t>KFM2020660175730</t>
  </si>
  <si>
    <t>KFM2020660201944</t>
  </si>
  <si>
    <t>مسجد الشيخ  عبدالله  الحجي مع السكن .</t>
  </si>
  <si>
    <t>KFM2020660200442</t>
  </si>
  <si>
    <t xml:space="preserve">   مسجد وسكن عبدالمحسن المهيدب .</t>
  </si>
  <si>
    <t>KFM2020660012634</t>
  </si>
  <si>
    <t>KFM2020660097628</t>
  </si>
  <si>
    <t>مسجد عبدالرحمن الداخل .</t>
  </si>
  <si>
    <t>KFM2020660044980</t>
  </si>
  <si>
    <t xml:space="preserve">   مسجد      أبوعبيده  الجراح .</t>
  </si>
  <si>
    <t>KFM2020660193617</t>
  </si>
  <si>
    <t xml:space="preserve">   مسجدعبدالله ابراهيم الحصيني .</t>
  </si>
  <si>
    <t>KFM2020660095467</t>
  </si>
  <si>
    <t>KFM2020660166691</t>
  </si>
  <si>
    <t>مسجد الشيخ محمد العمراني سكن .</t>
  </si>
  <si>
    <t>KFM2020660145907</t>
  </si>
  <si>
    <t xml:space="preserve">   مسجد الراشد .</t>
  </si>
  <si>
    <t>KFM2120660301490</t>
  </si>
  <si>
    <t>KFM2020660196923</t>
  </si>
  <si>
    <t xml:space="preserve">   مسجد شرق الاسكان .</t>
  </si>
  <si>
    <t>KFM2020660224474</t>
  </si>
  <si>
    <t xml:space="preserve">   مسجد رياض الصالحين .</t>
  </si>
  <si>
    <t>KFM2020660191848</t>
  </si>
  <si>
    <t xml:space="preserve">   مسجداحد بحي التعاون .</t>
  </si>
  <si>
    <t>KFM2020660213008</t>
  </si>
  <si>
    <t xml:space="preserve"> مسجدالعوده المطلق .</t>
  </si>
  <si>
    <t>KFM2020660164397</t>
  </si>
  <si>
    <t>KFM2120660246943</t>
  </si>
  <si>
    <t>مسجد الدخل  المحدود .</t>
  </si>
  <si>
    <t>KFM2020660171613</t>
  </si>
  <si>
    <t xml:space="preserve">   مسجد حي السعادة .</t>
  </si>
  <si>
    <t>KFM2120660260315</t>
  </si>
  <si>
    <t>مسجد محمد بن ماجد .</t>
  </si>
  <si>
    <t>KFM2020660053117</t>
  </si>
  <si>
    <t>KFM2020660051461</t>
  </si>
  <si>
    <t>مسجد الموسى .</t>
  </si>
  <si>
    <t>KFM2020660198273</t>
  </si>
  <si>
    <t>KFM2120660242830</t>
  </si>
  <si>
    <t>KFM2020660057096</t>
  </si>
  <si>
    <t>مسجد      هيله       العوده .</t>
  </si>
  <si>
    <t>KFM2020660054999</t>
  </si>
  <si>
    <t>KFM2020660025454</t>
  </si>
  <si>
    <t>المسجد الموقت بالعريجاء .</t>
  </si>
  <si>
    <t>KFM2020660013283</t>
  </si>
  <si>
    <t xml:space="preserve">   مسجد الرفيعه الشماليه .</t>
  </si>
  <si>
    <t>KFM2020760131071</t>
  </si>
  <si>
    <t xml:space="preserve">   مسجدالحبيشي .</t>
  </si>
  <si>
    <t>KFM2020660138307</t>
  </si>
  <si>
    <t>KFM2020660190950</t>
  </si>
  <si>
    <t>KFM2020660043882</t>
  </si>
  <si>
    <t xml:space="preserve">   مسجد جنوب حي الملك فيصل .</t>
  </si>
  <si>
    <t>KFM2020660040605</t>
  </si>
  <si>
    <t>KFM2020660091185</t>
  </si>
  <si>
    <t>KFM2020660060113</t>
  </si>
  <si>
    <t>مسجد الجوير .</t>
  </si>
  <si>
    <t>KFM2120660236389</t>
  </si>
  <si>
    <t>KFM2020660052774</t>
  </si>
  <si>
    <t>SMR2220661002446</t>
  </si>
  <si>
    <t>KFM2020660200537</t>
  </si>
  <si>
    <t>KFM2120660271622</t>
  </si>
  <si>
    <t>KFM2020660054861</t>
  </si>
  <si>
    <t xml:space="preserve">   مسجد سفيان بن عون .</t>
  </si>
  <si>
    <t>KFM2120660305454</t>
  </si>
  <si>
    <t>ECC2320831021976</t>
  </si>
  <si>
    <t xml:space="preserve">   مسجد ناصر بن ابراهيم العميقان .</t>
  </si>
  <si>
    <t>KFM2020660208658</t>
  </si>
  <si>
    <t xml:space="preserve">   مسجد/السفيرصالح الغفيلي وبيتي .</t>
  </si>
  <si>
    <t>KFM2020660191940</t>
  </si>
  <si>
    <t>مسجد      محمد      بن ماجد .</t>
  </si>
  <si>
    <t>KFM2020660023359</t>
  </si>
  <si>
    <t>مسجد آل  عبدالله .</t>
  </si>
  <si>
    <t>KFM2020660044002</t>
  </si>
  <si>
    <t>KFM2020660138305</t>
  </si>
  <si>
    <t>SMR2320661030446</t>
  </si>
  <si>
    <t>مسجد      الاميره     ساره .</t>
  </si>
  <si>
    <t>KFM2020660171608</t>
  </si>
  <si>
    <t>KFM2020660165852</t>
  </si>
  <si>
    <t xml:space="preserve">   مسجدالقاد سيةمع سكن والمؤذن .</t>
  </si>
  <si>
    <t>KFM2020660038833</t>
  </si>
  <si>
    <t xml:space="preserve">    مسجد وادي لبن الا ول .</t>
  </si>
  <si>
    <t>KFM2020660192602</t>
  </si>
  <si>
    <t>مسجد حى  الشعلان .</t>
  </si>
  <si>
    <t>KFM2020660177108</t>
  </si>
  <si>
    <t xml:space="preserve">   مسجد ابانمي .</t>
  </si>
  <si>
    <t>KFM2020660030502</t>
  </si>
  <si>
    <t>KFM2020660171809</t>
  </si>
  <si>
    <t xml:space="preserve">   مسجد هشام بن عبدالملك .</t>
  </si>
  <si>
    <t>KFM2020660174126</t>
  </si>
  <si>
    <t xml:space="preserve">   مسجد/فالح بن مشعان السهلى .</t>
  </si>
  <si>
    <t>SMR2320661029512</t>
  </si>
  <si>
    <t>مسجدالدار البيضاء .</t>
  </si>
  <si>
    <t>KFM2020660162794</t>
  </si>
  <si>
    <t>KFM2020660198065</t>
  </si>
  <si>
    <t xml:space="preserve">   مسجدعثمان بن عفان   حي النسيم .</t>
  </si>
  <si>
    <t>KFM2020660057056</t>
  </si>
  <si>
    <t xml:space="preserve">     مسجدحي الوادي .</t>
  </si>
  <si>
    <t>KFM2020660213593</t>
  </si>
  <si>
    <t>KFM2120660239276</t>
  </si>
  <si>
    <t>KFM2020660190524</t>
  </si>
  <si>
    <t>SMR2320761028596</t>
  </si>
  <si>
    <t xml:space="preserve">   مسجد سلطان العبدالرزاق .</t>
  </si>
  <si>
    <t>SMR2320661021216</t>
  </si>
  <si>
    <t>KFM2020660031625</t>
  </si>
  <si>
    <t>KFM2020660051387</t>
  </si>
  <si>
    <t xml:space="preserve">   مسجدعيدالعصيمي مع سكن امام ومؤذن .</t>
  </si>
  <si>
    <t>KFM2020660054737</t>
  </si>
  <si>
    <t xml:space="preserve">   مسجدحي الصحافةوسكن الامام والمؤذن .</t>
  </si>
  <si>
    <t>KFM2020660189549</t>
  </si>
  <si>
    <t xml:space="preserve">   مسجدالملزالجديد .</t>
  </si>
  <si>
    <t>KFM2020660210792</t>
  </si>
  <si>
    <t xml:space="preserve">   مسجدحي حطين .</t>
  </si>
  <si>
    <t>KFM2020660208991</t>
  </si>
  <si>
    <t>KFM2020660083696</t>
  </si>
  <si>
    <t>مسجد الغنامية .</t>
  </si>
  <si>
    <t>KFM2120660281660</t>
  </si>
  <si>
    <t>مـسـجـد   حي        طويق .</t>
  </si>
  <si>
    <t>KFM2020660049556</t>
  </si>
  <si>
    <t xml:space="preserve">   وزارةالشئونالاسلاميةمسجدابوبكر .</t>
  </si>
  <si>
    <t>KFM2020660197199</t>
  </si>
  <si>
    <t xml:space="preserve">   مسجد فهيد دعيج المطيري ومرافقه .</t>
  </si>
  <si>
    <t>KFM2020660211324</t>
  </si>
  <si>
    <t>مسجد العكرش .</t>
  </si>
  <si>
    <t>KFM2020660098725</t>
  </si>
  <si>
    <t xml:space="preserve">   مسجد غليفص  بسوق البطحاء .</t>
  </si>
  <si>
    <t>KFM2020660047684</t>
  </si>
  <si>
    <t>KFM2020766157186</t>
  </si>
  <si>
    <t xml:space="preserve">    مسجد حي الحمراءوسكن الا مام المؤ .</t>
  </si>
  <si>
    <t>KFM2020660060017</t>
  </si>
  <si>
    <t>KFM2120660303442</t>
  </si>
  <si>
    <t>KFM2020660127604</t>
  </si>
  <si>
    <t xml:space="preserve">   مسجد حي غرناطة .</t>
  </si>
  <si>
    <t>KFM2020660061557</t>
  </si>
  <si>
    <t xml:space="preserve">   مسجد الخالديه /بالدرعيه .</t>
  </si>
  <si>
    <t>KFM2020660027759</t>
  </si>
  <si>
    <t xml:space="preserve">   مسجد الوهيبي .</t>
  </si>
  <si>
    <t>KFM2020660043125</t>
  </si>
  <si>
    <t>KFM2020660144744</t>
  </si>
  <si>
    <t xml:space="preserve">   مسجدحى المنصورة .</t>
  </si>
  <si>
    <t>KFM2120660290439</t>
  </si>
  <si>
    <t>KFM2020660004048</t>
  </si>
  <si>
    <t xml:space="preserve">   مسجد      بدريه     الحماد .</t>
  </si>
  <si>
    <t>KFM2020660026329</t>
  </si>
  <si>
    <t>.0 مسجد      ال  كريديس .</t>
  </si>
  <si>
    <t>MMF2020800018598</t>
  </si>
  <si>
    <t>SMR2220661006889</t>
  </si>
  <si>
    <t xml:space="preserve">      مسجد   حي   الحمراء .</t>
  </si>
  <si>
    <t>KFM2020660058544</t>
  </si>
  <si>
    <t>KFM2020660145256</t>
  </si>
  <si>
    <t>KFM2020660213530</t>
  </si>
  <si>
    <t xml:space="preserve">   مسجد      المعتق    . .</t>
  </si>
  <si>
    <t>KFM2020660145914</t>
  </si>
  <si>
    <t xml:space="preserve">   مسجد حي الصحافة .</t>
  </si>
  <si>
    <t>KFM2020660212994</t>
  </si>
  <si>
    <t xml:space="preserve">   مسجد حي السعاده .</t>
  </si>
  <si>
    <t>KFM2120660241513</t>
  </si>
  <si>
    <t>KFM2020660007885</t>
  </si>
  <si>
    <t>وزاره      الشئون    مسجد عكاظ .</t>
  </si>
  <si>
    <t>KFM2020660191152</t>
  </si>
  <si>
    <t>مسجد السرحان .</t>
  </si>
  <si>
    <t>KFM2020660096658</t>
  </si>
  <si>
    <t xml:space="preserve">   مسجد الحمراء .</t>
  </si>
  <si>
    <t>KFM2020660058549</t>
  </si>
  <si>
    <t xml:space="preserve">   مسجد حي  الخليج .</t>
  </si>
  <si>
    <t>KFM2020660047186</t>
  </si>
  <si>
    <t xml:space="preserve">   مسجد بحي الدار البيضاء .</t>
  </si>
  <si>
    <t>KFM2120660259040</t>
  </si>
  <si>
    <t>مسجد التوحيد بالعريجاء .</t>
  </si>
  <si>
    <t>KFM2020660153735</t>
  </si>
  <si>
    <t xml:space="preserve">   مسجد رقم 5 حي الاسكان رقم 1 .</t>
  </si>
  <si>
    <t>KFM2020660162705</t>
  </si>
  <si>
    <t>KFM2020660156156</t>
  </si>
  <si>
    <t xml:space="preserve">   مسجد    عمار بن   ياسر .</t>
  </si>
  <si>
    <t>KFM2020660041763</t>
  </si>
  <si>
    <t xml:space="preserve">   مسجدمنصور .</t>
  </si>
  <si>
    <t>KFM2120660303778</t>
  </si>
  <si>
    <t>KFM2020660129784</t>
  </si>
  <si>
    <t xml:space="preserve">   مسجدحي التعاونومرافقه .</t>
  </si>
  <si>
    <t>KFM2020660160587</t>
  </si>
  <si>
    <t>SMR2420661036116</t>
  </si>
  <si>
    <t xml:space="preserve">   مسجد خنشليله .</t>
  </si>
  <si>
    <t>KFM2120660299140</t>
  </si>
  <si>
    <t xml:space="preserve">   مسجد امتداد شارع جرير .</t>
  </si>
  <si>
    <t>KFM2020660053978</t>
  </si>
  <si>
    <t xml:space="preserve">   مسجدعبدالرحمن بن عوف .</t>
  </si>
  <si>
    <t>KFM2020660162795</t>
  </si>
  <si>
    <t xml:space="preserve">   مسجدشارع جرير .</t>
  </si>
  <si>
    <t>KFM2020660047711</t>
  </si>
  <si>
    <t xml:space="preserve">   مسجد نورة الموسى .</t>
  </si>
  <si>
    <t>KFM2020660190834</t>
  </si>
  <si>
    <t xml:space="preserve">   مسجد الجوهره .</t>
  </si>
  <si>
    <t>KFM2020660060077</t>
  </si>
  <si>
    <t>مسجد بحي العريجاء .</t>
  </si>
  <si>
    <t>KFM2020660191240</t>
  </si>
  <si>
    <t>KFM2020660144749</t>
  </si>
  <si>
    <t xml:space="preserve">   مسجد والدة الامير/ بدر .</t>
  </si>
  <si>
    <t>KFM2120660258276</t>
  </si>
  <si>
    <t xml:space="preserve">   مسجد العباس  بن عبدالمطلب .</t>
  </si>
  <si>
    <t>KFM2020660191055</t>
  </si>
  <si>
    <t>مسجد العياف .</t>
  </si>
  <si>
    <t>KFM2020660051524</t>
  </si>
  <si>
    <t>KFM2020660143084</t>
  </si>
  <si>
    <t xml:space="preserve">   مسجد/عبدالله بن سعود .</t>
  </si>
  <si>
    <t>KFM2120660247962</t>
  </si>
  <si>
    <t>مسجد /جامع المخطط السادس .</t>
  </si>
  <si>
    <t>KFM2020660201710</t>
  </si>
  <si>
    <t xml:space="preserve">   مسجدالحسن بن على بن ابى طالب .</t>
  </si>
  <si>
    <t>KFM2120660267476</t>
  </si>
  <si>
    <t>SMR2320661030401</t>
  </si>
  <si>
    <t>مسجدمحمدسعدالمهنا .</t>
  </si>
  <si>
    <t>KFM2020660098924</t>
  </si>
  <si>
    <t xml:space="preserve">  مسجد وزارةالشؤون الاسلامية و الاوقاف .</t>
  </si>
  <si>
    <t>KFM2020660197147</t>
  </si>
  <si>
    <t>KFM2020660195212</t>
  </si>
  <si>
    <t xml:space="preserve">   مسجدرشيد بن جبر .</t>
  </si>
  <si>
    <t>KFM2020660187773</t>
  </si>
  <si>
    <t xml:space="preserve">   مسجد علي ابي طالب .</t>
  </si>
  <si>
    <t>KFM2020660162191</t>
  </si>
  <si>
    <t>KFM2020660193062</t>
  </si>
  <si>
    <t>مسجد  حي الحزم .</t>
  </si>
  <si>
    <t>KFM2020660051512</t>
  </si>
  <si>
    <t>KFM2020660051381</t>
  </si>
  <si>
    <t xml:space="preserve">   مسجد حصة ماضي الربيعان .</t>
  </si>
  <si>
    <t>KFM2020660031623</t>
  </si>
  <si>
    <t>KFM2020660006229</t>
  </si>
  <si>
    <t>مسجدام  سعود .</t>
  </si>
  <si>
    <t>KFM2020660173466</t>
  </si>
  <si>
    <t>KFM2020660174839</t>
  </si>
  <si>
    <t>مسجد      عبدالرحمن الخنيفر .</t>
  </si>
  <si>
    <t>KFM2020660087396</t>
  </si>
  <si>
    <t>KFM2020660100267</t>
  </si>
  <si>
    <t>KFM2020660213549</t>
  </si>
  <si>
    <t>مسجد الشيخ  /عبدالله  الغملاس .</t>
  </si>
  <si>
    <t>KFM2120766173915</t>
  </si>
  <si>
    <t>KFM2020660025968</t>
  </si>
  <si>
    <t>SMR2320661022783</t>
  </si>
  <si>
    <t xml:space="preserve">   مسجد عبدالعزيز المتوزي .</t>
  </si>
  <si>
    <t>KFM2020660057351</t>
  </si>
  <si>
    <t>KFM2020660191030</t>
  </si>
  <si>
    <t xml:space="preserve">   صالة تفطير جامع الامير مشعل بعرقه .</t>
  </si>
  <si>
    <t>KFM2020760033873</t>
  </si>
  <si>
    <t>ECC2020810865795</t>
  </si>
  <si>
    <t xml:space="preserve">   مسجد الأمير فيصل بن مشعل .</t>
  </si>
  <si>
    <t>KFM2020660053493</t>
  </si>
  <si>
    <t>وزاره      الشئون    جامع الحزم .</t>
  </si>
  <si>
    <t>KFM2020660034101</t>
  </si>
  <si>
    <t xml:space="preserve">   مسجد الشرفيه .</t>
  </si>
  <si>
    <t>AEC2020830556856</t>
  </si>
  <si>
    <t>مسجد /الشيخ  محمد بن عبدالوهاب .</t>
  </si>
  <si>
    <t>KFM2020660015221</t>
  </si>
  <si>
    <t>KFM2020660038691</t>
  </si>
  <si>
    <t xml:space="preserve">   مسجد النخيل الغربي .</t>
  </si>
  <si>
    <t>KFM2020660202331</t>
  </si>
  <si>
    <t>MMF2420601023705</t>
  </si>
  <si>
    <t>SMR2320661035105</t>
  </si>
  <si>
    <t>مسجدسلمان بن محمد .</t>
  </si>
  <si>
    <t>KFM2020660198265</t>
  </si>
  <si>
    <t>مسجد / حذيفة  بن اليماني .</t>
  </si>
  <si>
    <t>KFM2020660053778</t>
  </si>
  <si>
    <t>مسجد / الفرقان بظهرة  نمار .</t>
  </si>
  <si>
    <t>KFM2020660039107</t>
  </si>
  <si>
    <t>SMR2220661007624</t>
  </si>
  <si>
    <t xml:space="preserve">   مسجد سعيد مهدى الغامدى .</t>
  </si>
  <si>
    <t>KFM2020760068924</t>
  </si>
  <si>
    <t xml:space="preserve">   مسجد حي المرسلات/صالح الراجحي .</t>
  </si>
  <si>
    <t>KFM2020660201971</t>
  </si>
  <si>
    <t xml:space="preserve">   مسجد احمد بن تيمية - رحمه الله .</t>
  </si>
  <si>
    <t>KFM2020660141793</t>
  </si>
  <si>
    <t xml:space="preserve">   مسجد الفداء .</t>
  </si>
  <si>
    <t>KFM2120660273783</t>
  </si>
  <si>
    <t xml:space="preserve">   مسجد حمد عبدالعزيز العثيمين .</t>
  </si>
  <si>
    <t>KFM2020660193780</t>
  </si>
  <si>
    <t xml:space="preserve"> تحفيظ القرآن مسجد عبدالله اللحيدان .</t>
  </si>
  <si>
    <t>KFM2020660193750</t>
  </si>
  <si>
    <t xml:space="preserve">   مسجد سعيد القحطانى / حى الوزارات .</t>
  </si>
  <si>
    <t>KFM2020660170074</t>
  </si>
  <si>
    <t xml:space="preserve">   مسجد حى السهول .</t>
  </si>
  <si>
    <t>KFM2020660191315</t>
  </si>
  <si>
    <t xml:space="preserve">   مسجد/حي الخليج .</t>
  </si>
  <si>
    <t>KFM2020660193621</t>
  </si>
  <si>
    <t xml:space="preserve">   مسجد/ منيره محمد العبدالقادر .</t>
  </si>
  <si>
    <t>KFM2120660302067</t>
  </si>
  <si>
    <t>وزاره      الشئون    مسجد ال  مقرن .</t>
  </si>
  <si>
    <t>KFM2020660208077</t>
  </si>
  <si>
    <t>مسجد نورة بنت مرزوق .</t>
  </si>
  <si>
    <t>KFM2120660299059</t>
  </si>
  <si>
    <t xml:space="preserve">   مسجدحى الضباط .</t>
  </si>
  <si>
    <t>KFM2020660162708</t>
  </si>
  <si>
    <t xml:space="preserve">   مسجد صالح عبدالعزيز الراجحى .</t>
  </si>
  <si>
    <t>KFM2020660192216</t>
  </si>
  <si>
    <t>KFM2020660036528</t>
  </si>
  <si>
    <t>KFM2020660195214</t>
  </si>
  <si>
    <t xml:space="preserve">   مسجد ناصر المهوس  بحي المصيف .</t>
  </si>
  <si>
    <t>KFM2020660104319</t>
  </si>
  <si>
    <t xml:space="preserve">   مسجدام الحمام الغربيه .</t>
  </si>
  <si>
    <t>KFM2020660188561</t>
  </si>
  <si>
    <t xml:space="preserve">   مسجدسعودالكبير .</t>
  </si>
  <si>
    <t>KFM2020660047751</t>
  </si>
  <si>
    <t xml:space="preserve">  وزارة الشئون الاسلاميه/ مسجدالفيحاء .</t>
  </si>
  <si>
    <t>KFM2120660241534</t>
  </si>
  <si>
    <t xml:space="preserve">   مسجد جامع العزيزية .</t>
  </si>
  <si>
    <t>KFM2120660299250</t>
  </si>
  <si>
    <t xml:space="preserve">   ادارة الاوقاف والمساجد بالرياض .</t>
  </si>
  <si>
    <t>KFM2120660299276</t>
  </si>
  <si>
    <t>مسجدالشيخ  عبدالله  القرعاوي .</t>
  </si>
  <si>
    <t>KFM2020660174963</t>
  </si>
  <si>
    <t xml:space="preserve">   مسجدبلال .</t>
  </si>
  <si>
    <t>SMR2420661038941</t>
  </si>
  <si>
    <t xml:space="preserve">       مسجد   حي   الحمراء .</t>
  </si>
  <si>
    <t>KFM2020660042690</t>
  </si>
  <si>
    <t xml:space="preserve">   مسجد / بدرابراهيم السعيدان .</t>
  </si>
  <si>
    <t>KFM2020660043500</t>
  </si>
  <si>
    <t xml:space="preserve">   مسجدعثمان العثمان .</t>
  </si>
  <si>
    <t>KFM2020660126296</t>
  </si>
  <si>
    <t>SMR2320661021347</t>
  </si>
  <si>
    <t>KFM2020660037778</t>
  </si>
  <si>
    <t xml:space="preserve">   مسجدالمورقي مع سكن الامام والمؤذن .</t>
  </si>
  <si>
    <t>KFM2020660007002</t>
  </si>
  <si>
    <t>SMR2020850027473</t>
  </si>
  <si>
    <t xml:space="preserve">   مسجد المفيريج .</t>
  </si>
  <si>
    <t>KFM2020660087754</t>
  </si>
  <si>
    <t xml:space="preserve">   مسجدحي الفلاح .</t>
  </si>
  <si>
    <t>KFM2020660206949</t>
  </si>
  <si>
    <t xml:space="preserve">   مسجد الموسي وبيتي الامام والمؤذن .</t>
  </si>
  <si>
    <t>KFM2020660190820</t>
  </si>
  <si>
    <t xml:space="preserve">   حرس وطني  مسجد      أبي هريره .</t>
  </si>
  <si>
    <t>KFM2020660192116</t>
  </si>
  <si>
    <t xml:space="preserve">   مسجد      ذو        النورين .</t>
  </si>
  <si>
    <t>KFM2020660057211</t>
  </si>
  <si>
    <t xml:space="preserve">   مسجد      المونسيه .</t>
  </si>
  <si>
    <t>KFM2120655004385</t>
  </si>
  <si>
    <t xml:space="preserve">   مسجد احمد بن حنبل .</t>
  </si>
  <si>
    <t>KFM2020660127747</t>
  </si>
  <si>
    <t xml:space="preserve">   جامع  الخالدية الكبير .</t>
  </si>
  <si>
    <t>KFM2120660304653</t>
  </si>
  <si>
    <t xml:space="preserve">   مسجد الشويب القديم .</t>
  </si>
  <si>
    <t>KFM2020660054725</t>
  </si>
  <si>
    <t xml:space="preserve">   المسجد التابع للوزارة .</t>
  </si>
  <si>
    <t>SMR2220761002196</t>
  </si>
  <si>
    <t>مسجد الهدى .</t>
  </si>
  <si>
    <t>KFM2020660165556</t>
  </si>
  <si>
    <t>مسجدفهدمحمدبن عبدالعزيز .</t>
  </si>
  <si>
    <t>KFM2020660034103</t>
  </si>
  <si>
    <t>KFM2020660049692</t>
  </si>
  <si>
    <t xml:space="preserve">   مسجد      محمد      عمران .</t>
  </si>
  <si>
    <t>KFM2020660227219</t>
  </si>
  <si>
    <t xml:space="preserve">   مسجد سعود بن سمار 5/3145</t>
  </si>
  <si>
    <t>KFM2120660279589</t>
  </si>
  <si>
    <t xml:space="preserve">   مسجد المصيف .</t>
  </si>
  <si>
    <t>KFM2020660173920</t>
  </si>
  <si>
    <t xml:space="preserve">   مسجدالملز الجنوبي 5/3150</t>
  </si>
  <si>
    <t>KFM2020660057333</t>
  </si>
  <si>
    <t xml:space="preserve">   مسجد المنصورة .</t>
  </si>
  <si>
    <t>KFM2120660253468</t>
  </si>
  <si>
    <t xml:space="preserve">   مسجد الدرعيه .</t>
  </si>
  <si>
    <t>KFM2020660027811</t>
  </si>
  <si>
    <t>KFM2020766061246</t>
  </si>
  <si>
    <t>KFM2020660041621</t>
  </si>
  <si>
    <t xml:space="preserve">   وزارة الشئوؤن الاسلاميه مسجدحطين .</t>
  </si>
  <si>
    <t>KFM2020660187908</t>
  </si>
  <si>
    <t xml:space="preserve">   مسجد معاويه بن أبي سفيان .</t>
  </si>
  <si>
    <t>KFM2020766160194</t>
  </si>
  <si>
    <t>MMF2420601015549</t>
  </si>
  <si>
    <t>MMF2020800125211</t>
  </si>
  <si>
    <t>KFM2120660240913</t>
  </si>
  <si>
    <t xml:space="preserve">   مسجدالميدان بالـدرعـيـه .</t>
  </si>
  <si>
    <t>KFM2020660191329</t>
  </si>
  <si>
    <t xml:space="preserve">   مسجد الدحام بحي لبن .</t>
  </si>
  <si>
    <t>KFM2020660202304</t>
  </si>
  <si>
    <t xml:space="preserve">   مسجد      الفصام .</t>
  </si>
  <si>
    <t>KFM2020660025588</t>
  </si>
  <si>
    <t>KFM2020660203524</t>
  </si>
  <si>
    <t xml:space="preserve">   مسجد عدي بن حاتم - رضي الله عنه .</t>
  </si>
  <si>
    <t>KFM2020660129791</t>
  </si>
  <si>
    <t>KFM2020660227076</t>
  </si>
  <si>
    <t>جامع الرميح .</t>
  </si>
  <si>
    <t>KFM2020660098856</t>
  </si>
  <si>
    <t xml:space="preserve"> مسجدالاميره الجوهره بنت سعود الكبير .</t>
  </si>
  <si>
    <t>KFM2020660048648</t>
  </si>
  <si>
    <t>مسجدال  سويلم .</t>
  </si>
  <si>
    <t>KFM2020660189457</t>
  </si>
  <si>
    <t xml:space="preserve">   مسجد العساف .</t>
  </si>
  <si>
    <t>KFM2020660167853</t>
  </si>
  <si>
    <t>KFM2120660299308</t>
  </si>
  <si>
    <t>KFM2020766103473</t>
  </si>
  <si>
    <t xml:space="preserve">   مسجد ابناء عبدالله بن عبدالرحمن .</t>
  </si>
  <si>
    <t>KFM2020660192138</t>
  </si>
  <si>
    <t xml:space="preserve">   مسجد النفيسه .</t>
  </si>
  <si>
    <t>KFM2120660251614</t>
  </si>
  <si>
    <t>KFM2020660195114</t>
  </si>
  <si>
    <t>KFM2120660253465</t>
  </si>
  <si>
    <t xml:space="preserve">   مدرسة حبيبه بنت جحش بحى الاسكان .</t>
  </si>
  <si>
    <t>KFM2020660162807</t>
  </si>
  <si>
    <t>KFM2020660190532</t>
  </si>
  <si>
    <t>KFM2120660302385</t>
  </si>
  <si>
    <t xml:space="preserve">  اوقاف الخرج /جامع الملك عبدالعزيز .</t>
  </si>
  <si>
    <t>KFM2120660270821</t>
  </si>
  <si>
    <t>الخرج</t>
  </si>
  <si>
    <t xml:space="preserve">   جامع      ال مطرف   اوقاف الدواس .</t>
  </si>
  <si>
    <t>KFM2020660212686</t>
  </si>
  <si>
    <t>وادي الدواسر</t>
  </si>
  <si>
    <t>ﻤﺴﺎﺠﺩ ﻭﺤﺩﺓ ﺍﻟﺤﺭﻴﻕ .</t>
  </si>
  <si>
    <t>KFM2120660272838</t>
  </si>
  <si>
    <t xml:space="preserve">   جامع الملك عبدالله بن عبدالعزيز .</t>
  </si>
  <si>
    <t>KFM2020660170239</t>
  </si>
  <si>
    <t>الأفلاج</t>
  </si>
  <si>
    <t xml:space="preserve">   مسسجد خالد بن الوليد .</t>
  </si>
  <si>
    <t>KFM2120660260567</t>
  </si>
  <si>
    <t>KFM2020660170236</t>
  </si>
  <si>
    <t>المساجد والدعوة والإرشاد - الافلاج .</t>
  </si>
  <si>
    <t>KFM2020660165150</t>
  </si>
  <si>
    <t xml:space="preserve">    الموسسه العامه للصناعات الحربيه .</t>
  </si>
  <si>
    <t>KFM2120660250471</t>
  </si>
  <si>
    <t xml:space="preserve">   مسجدآل حفيظ بالنزهه .</t>
  </si>
  <si>
    <t>KFM2120660260644</t>
  </si>
  <si>
    <t xml:space="preserve">   مسجد/ محمد ناصر اليوسف .</t>
  </si>
  <si>
    <t>KFM2120660264303</t>
  </si>
  <si>
    <t>KFM2020660177688</t>
  </si>
  <si>
    <t>الحريق</t>
  </si>
  <si>
    <t xml:space="preserve"> جامع الامير مشعل بن عبدالعزيز ال سعود .</t>
  </si>
  <si>
    <t>KFM2020660200908</t>
  </si>
  <si>
    <t>حوطة بني تميم</t>
  </si>
  <si>
    <t xml:space="preserve">   جامع النويعمه /اوقاف الدواســ .</t>
  </si>
  <si>
    <t>KFM2020660177897</t>
  </si>
  <si>
    <t xml:space="preserve">   اوقاف الخرج / مسجد نعجان .</t>
  </si>
  <si>
    <t>KFM2020660212384</t>
  </si>
  <si>
    <t>الدلم</t>
  </si>
  <si>
    <t>SMR2220661003267</t>
  </si>
  <si>
    <t>SMR2220661003002</t>
  </si>
  <si>
    <t xml:space="preserve">   مسجد       مبارك     ال عريمه .</t>
  </si>
  <si>
    <t>KFM2020660177877</t>
  </si>
  <si>
    <t xml:space="preserve">   اوقاف الدواسر/مسجد جروان قويد .</t>
  </si>
  <si>
    <t>SMR2420661037324</t>
  </si>
  <si>
    <t>KFM2020660210979</t>
  </si>
  <si>
    <t xml:space="preserve">   اوقاف الخرج / مسجديوسف السالم .</t>
  </si>
  <si>
    <t>KFM2120660245994</t>
  </si>
  <si>
    <t xml:space="preserve">   مسجد جامع الزهره .</t>
  </si>
  <si>
    <t>KFM2120660272295</t>
  </si>
  <si>
    <t xml:space="preserve">   اوقاف الخرج /مسجد الشوكاني .</t>
  </si>
  <si>
    <t>KFM2020660231486</t>
  </si>
  <si>
    <t xml:space="preserve">      مسجد حى الناصريه الجامع .</t>
  </si>
  <si>
    <t>KFM2020660125098</t>
  </si>
  <si>
    <t>ﺍﻟﻤﺴﺎﺠﺩﻭﺍﻟﺩﻋﻭﻩ ﺍﻻﺭﺸﺎﺩ ﺒﺎﻻﻓﻼﺝ .</t>
  </si>
  <si>
    <t>KFM2120660259915</t>
  </si>
  <si>
    <t>SMR2220661016938</t>
  </si>
  <si>
    <t xml:space="preserve">      اوقاف الدواسر/مسجد متعب .</t>
  </si>
  <si>
    <t>KFM2020660206085</t>
  </si>
  <si>
    <t xml:space="preserve">      مسجد حله السعوديه5/ .</t>
  </si>
  <si>
    <t>KFM2020660208012</t>
  </si>
  <si>
    <t xml:space="preserve">   مغسلة الموتى التابعةلمسجدمتعب .</t>
  </si>
  <si>
    <t>KFM2020660174661</t>
  </si>
  <si>
    <t xml:space="preserve">   مسجد / ابو بكر الصديق .</t>
  </si>
  <si>
    <t>SMR2320661021313</t>
  </si>
  <si>
    <t xml:space="preserve">   مسجد الأبرار .</t>
  </si>
  <si>
    <t>KFM2020660137753</t>
  </si>
  <si>
    <t xml:space="preserve">      مسجد/محمد بن صالح العقيل .</t>
  </si>
  <si>
    <t>KFM2020660177762</t>
  </si>
  <si>
    <t xml:space="preserve">   اوقاف الدواسر/ جامع بهجه .</t>
  </si>
  <si>
    <t>KFM2020660212751</t>
  </si>
  <si>
    <t xml:space="preserve">      مسجد الشعيبى .</t>
  </si>
  <si>
    <t>KFM2020660204239</t>
  </si>
  <si>
    <t xml:space="preserve">   مسجدعمر بن الخطاب/اوقاف الدواسر .</t>
  </si>
  <si>
    <t>MMF2420601015880</t>
  </si>
  <si>
    <t xml:space="preserve">     مسجدالجامع الكبير .</t>
  </si>
  <si>
    <t>KFM2120660270881</t>
  </si>
  <si>
    <t xml:space="preserve">    مسجد/عاصم بن ثابت .</t>
  </si>
  <si>
    <t>KFM2120660260510</t>
  </si>
  <si>
    <t xml:space="preserve"> مسجد الشهداء .</t>
  </si>
  <si>
    <t>KFM2120660272831</t>
  </si>
  <si>
    <t xml:space="preserve">   مسجد / خالد القسري (حي الريان) .</t>
  </si>
  <si>
    <t>MMF2020800309389</t>
  </si>
  <si>
    <t xml:space="preserve">   جامع يوسف على العمرى .</t>
  </si>
  <si>
    <t>KFM2020660230850</t>
  </si>
  <si>
    <t xml:space="preserve">   مسجد/محمد بن        عبدالوهاب .</t>
  </si>
  <si>
    <t>KFM2120660271543</t>
  </si>
  <si>
    <t>السليل</t>
  </si>
  <si>
    <t xml:space="preserve">   مسجد ال مزيد .</t>
  </si>
  <si>
    <t>KFM2020766165985</t>
  </si>
  <si>
    <t xml:space="preserve">   جامع/ راشد صالح الخنين .</t>
  </si>
  <si>
    <t>KFM2020660177832</t>
  </si>
  <si>
    <t>مسجد محطة السلام .</t>
  </si>
  <si>
    <t>MMF2020800299662</t>
  </si>
  <si>
    <t xml:space="preserve">   مسجد      فرج       ابو سنيه .</t>
  </si>
  <si>
    <t>KFM2020760204251</t>
  </si>
  <si>
    <t xml:space="preserve">   مسجد/محمد عبدالله آل ذيب الدوسري .</t>
  </si>
  <si>
    <t>KFM2020760211546</t>
  </si>
  <si>
    <t xml:space="preserve">    مسجدالشيخ/عبدالعزيز بن باز .</t>
  </si>
  <si>
    <t>MMF2020800219175</t>
  </si>
  <si>
    <t xml:space="preserve">   مسجد / مفرج البياع .</t>
  </si>
  <si>
    <t>KFM2120660302740</t>
  </si>
  <si>
    <t xml:space="preserve">   ادارة     الاوقاف    شمال المودني .</t>
  </si>
  <si>
    <t>MMF2420801336846</t>
  </si>
  <si>
    <t xml:space="preserve">   اوقاف الخرج / مسجد ال هتلان .</t>
  </si>
  <si>
    <t>KFM2020660207867</t>
  </si>
  <si>
    <t>KFM2020660230873</t>
  </si>
  <si>
    <t>ﻤﺴﺎﺠﺩ ﺍﻟﺴﻟﻴﻝ .</t>
  </si>
  <si>
    <t>SMR2220661018181</t>
  </si>
  <si>
    <t>مساجد الخماسين .</t>
  </si>
  <si>
    <t>ECC2020810917709</t>
  </si>
  <si>
    <t>KFM2120660256744</t>
  </si>
  <si>
    <t xml:space="preserve">   مسجد/ال سويكت .</t>
  </si>
  <si>
    <t>KFM2020660223654</t>
  </si>
  <si>
    <t xml:space="preserve">   اوقاف الدلم/مسجدخالدالغانم .</t>
  </si>
  <si>
    <t>KFM2120660249816</t>
  </si>
  <si>
    <t xml:space="preserve">   اوقاف الدلم / جامع السلمانية .</t>
  </si>
  <si>
    <t>KFM2020660170466</t>
  </si>
  <si>
    <t>MMF2020800319402</t>
  </si>
  <si>
    <t>مسجد هجرة ال حفيظ بالصاع .</t>
  </si>
  <si>
    <t>MMF2420801440906</t>
  </si>
  <si>
    <t>KFM2020660212775</t>
  </si>
  <si>
    <t xml:space="preserve">   جامع حي النهضـه .</t>
  </si>
  <si>
    <t>KFM2120660264343</t>
  </si>
  <si>
    <t xml:space="preserve">   مسجد تجمع حي النهضة .</t>
  </si>
  <si>
    <t>KFM2120660247687</t>
  </si>
  <si>
    <t xml:space="preserve">   مســجد مليـحه .</t>
  </si>
  <si>
    <t>KFM2020660212376</t>
  </si>
  <si>
    <t xml:space="preserve"> مسجد الشيخ / عبدالعزيز بن باز .</t>
  </si>
  <si>
    <t>KFM2020660223929</t>
  </si>
  <si>
    <t xml:space="preserve">   ادارةاوقافمسجد      بالافلاج .</t>
  </si>
  <si>
    <t>KFM2020766000952</t>
  </si>
  <si>
    <t>ﻤﺴﺎﺠﺩ ﺍﻟﺤﻭﻁﻩ .</t>
  </si>
  <si>
    <t>KFM2120660263441</t>
  </si>
  <si>
    <t xml:space="preserve">   أدارةالا وقاف(مسجد جامع الخرفه  ) .</t>
  </si>
  <si>
    <t>KFM2020660176109</t>
  </si>
  <si>
    <t xml:space="preserve">      مسجد السعودى .</t>
  </si>
  <si>
    <t>KFM2020660169771</t>
  </si>
  <si>
    <t xml:space="preserve">   اوقاف الدلم/ جامع ال سعيدان .</t>
  </si>
  <si>
    <t>SMR2220661016836</t>
  </si>
  <si>
    <t>SMR2220661004487</t>
  </si>
  <si>
    <t>KFM2020660211807</t>
  </si>
  <si>
    <t xml:space="preserve">   اوقاف الخرج /  مسجد حلة المحاسنه .</t>
  </si>
  <si>
    <t>KFM2020660174637</t>
  </si>
  <si>
    <t>ﺍﻭﻗﺎﻑ ﺍﻟﺩﻟﻡ / ﺍﻟﻤﺴــــــﺎﺠـﺩ .</t>
  </si>
  <si>
    <t>KFM2020660177843</t>
  </si>
  <si>
    <t xml:space="preserve">   مسجد/ معاويه بن ابي سفيان .</t>
  </si>
  <si>
    <t>KFM2120660260583</t>
  </si>
  <si>
    <t>MMF2020800310729</t>
  </si>
  <si>
    <t xml:space="preserve">   مسجدجامع الحـريدى .</t>
  </si>
  <si>
    <t>KFM2020660212945</t>
  </si>
  <si>
    <t xml:space="preserve">   مسجدجامعحراضه .</t>
  </si>
  <si>
    <t>MMF2420701008287</t>
  </si>
  <si>
    <t>ECC2020810834367</t>
  </si>
  <si>
    <t xml:space="preserve">   مسجد حى السلام .</t>
  </si>
  <si>
    <t>KFM2020660177924</t>
  </si>
  <si>
    <t xml:space="preserve">   مسجد دغيم الشمري .</t>
  </si>
  <si>
    <t>KFM2020660211780</t>
  </si>
  <si>
    <t xml:space="preserve"> مسجد مصعب بن عمير الا وقاف والمساجد .</t>
  </si>
  <si>
    <t>KFM2020660176099</t>
  </si>
  <si>
    <t>KFM2020660211778</t>
  </si>
  <si>
    <t>مسجد ابن خلدون .</t>
  </si>
  <si>
    <t>KFM2020760204108</t>
  </si>
  <si>
    <t xml:space="preserve">   مسجدالمخطط(1)/اوقاف الدواسر .</t>
  </si>
  <si>
    <t>KFM2020760052883</t>
  </si>
  <si>
    <t>KFM2020660212601</t>
  </si>
  <si>
    <t>KFM2020660212921</t>
  </si>
  <si>
    <t xml:space="preserve">      مسجد حى العاليه .</t>
  </si>
  <si>
    <t>KFM2120660300267</t>
  </si>
  <si>
    <t>KFM2020660206130</t>
  </si>
  <si>
    <t>مسجد سعد السعيدان بحي المهندسي .</t>
  </si>
  <si>
    <t>KFM2120660264218</t>
  </si>
  <si>
    <t xml:space="preserve">   مسجد/محمد احمد الطهيفي .</t>
  </si>
  <si>
    <t>KFM2120660257281</t>
  </si>
  <si>
    <t xml:space="preserve">   مسجد      جامع      . .</t>
  </si>
  <si>
    <t>KFM2120660271507</t>
  </si>
  <si>
    <t>SMR2220661019351</t>
  </si>
  <si>
    <t>KFM2020660212763</t>
  </si>
  <si>
    <t>AEC2020830171245</t>
  </si>
  <si>
    <t xml:space="preserve">    مسجد جامع ال حنيش /اوقاف السليل .</t>
  </si>
  <si>
    <t>KFM2120660271463</t>
  </si>
  <si>
    <t xml:space="preserve">   مسجد/ سعيد بن زيد .</t>
  </si>
  <si>
    <t>KFM2120660273268</t>
  </si>
  <si>
    <t>SMR2220661004664</t>
  </si>
  <si>
    <t xml:space="preserve">   مسجد ابن الجوزى بالسلاميه/م384 .</t>
  </si>
  <si>
    <t>KFM2120660270900</t>
  </si>
  <si>
    <t xml:space="preserve">   اوقاف الدواسر/ جامع المخطط .</t>
  </si>
  <si>
    <t>KFM2020660212731</t>
  </si>
  <si>
    <t xml:space="preserve">      مسجد القبيلى .</t>
  </si>
  <si>
    <t>KFM2020766167378</t>
  </si>
  <si>
    <t xml:space="preserve">      مسجد اسـامةبن زيـد .</t>
  </si>
  <si>
    <t>KFM2120660270810</t>
  </si>
  <si>
    <t xml:space="preserve">            مسجد الترمذي .</t>
  </si>
  <si>
    <t>KFM2120660274699</t>
  </si>
  <si>
    <t xml:space="preserve">   الاوقاف مسجدمسلم حفيظ هجرةالثليما .</t>
  </si>
  <si>
    <t>ECC2020811041636</t>
  </si>
  <si>
    <t xml:space="preserve">   اوقاف الخرج - مسجدابراهيم الصغير .</t>
  </si>
  <si>
    <t>KFM2120660245969</t>
  </si>
  <si>
    <t xml:space="preserve">   مسجد/ منيره عبدالله القعود .</t>
  </si>
  <si>
    <t>KFM2020660210976</t>
  </si>
  <si>
    <t>KFM2020660210977</t>
  </si>
  <si>
    <t xml:space="preserve">   اوقاف الدواسر/ جامع الولامين .</t>
  </si>
  <si>
    <t>KFM2020660206127</t>
  </si>
  <si>
    <t>ECC2420841012282</t>
  </si>
  <si>
    <t>KFM2020660177752</t>
  </si>
  <si>
    <t xml:space="preserve">   مسجد / عبدالرحمن القاسم .</t>
  </si>
  <si>
    <t>KFM2020660233577</t>
  </si>
  <si>
    <t>MMF2020800311288</t>
  </si>
  <si>
    <t xml:space="preserve">      مسجد جامع حى الرفاع .</t>
  </si>
  <si>
    <t>KFM2020660207897</t>
  </si>
  <si>
    <t>KFM2020660230203</t>
  </si>
  <si>
    <t xml:space="preserve">   مسجد حي المنيفيه الجديد .</t>
  </si>
  <si>
    <t>KFM2020760229883</t>
  </si>
  <si>
    <t xml:space="preserve">   مسجد حى الروضه .</t>
  </si>
  <si>
    <t>KFM2020660211786</t>
  </si>
  <si>
    <t xml:space="preserve">      مسجد/حسين محمدالحسن .</t>
  </si>
  <si>
    <t>SMR2220661000522</t>
  </si>
  <si>
    <t xml:space="preserve">   مسجد حله العبتان .</t>
  </si>
  <si>
    <t>KFM2020660204237</t>
  </si>
  <si>
    <t xml:space="preserve">   ادارة     الأوقاف    مسجد حسان بن .</t>
  </si>
  <si>
    <t>KFM2120660271512</t>
  </si>
  <si>
    <t>مسجد ام نايف عبدالله ابالحسن .</t>
  </si>
  <si>
    <t>KFM2020660170515</t>
  </si>
  <si>
    <t>مسجد هياء عبدالعزيز الصفيان الدوسري</t>
  </si>
  <si>
    <t>KFM2120660271424</t>
  </si>
  <si>
    <t xml:space="preserve">   ادارةاوقاف(مسجدالا مام مسلم حي ال .</t>
  </si>
  <si>
    <t>KFM2020660170209</t>
  </si>
  <si>
    <t xml:space="preserve">   مسجد      الحزم     الثالث .</t>
  </si>
  <si>
    <t>KFM2020660232733</t>
  </si>
  <si>
    <t xml:space="preserve">   اوقاف الدواسر/جامع سوق النويعمة .</t>
  </si>
  <si>
    <t>KFM2020660174594</t>
  </si>
  <si>
    <t xml:space="preserve"> اوقاف الخرج/مسجدعبدالله صالح العسكر .</t>
  </si>
  <si>
    <t>KFM2020660230150</t>
  </si>
  <si>
    <t xml:space="preserve">      مسجد السليمانيه .</t>
  </si>
  <si>
    <t>KFM2020660229216</t>
  </si>
  <si>
    <t xml:space="preserve">   مسجدالشيخ صالح ال ع ال الشيخ .</t>
  </si>
  <si>
    <t>KFM2120660292713</t>
  </si>
  <si>
    <t xml:space="preserve">   جامع ال وديان الاوقاف والمساجد .</t>
  </si>
  <si>
    <t>KFM2020660206197</t>
  </si>
  <si>
    <t xml:space="preserve">   اوقاف الدلم /مسجد ال مترك .</t>
  </si>
  <si>
    <t>KFM2020760220596</t>
  </si>
  <si>
    <t xml:space="preserve">      مسجد الجامع الكبير .</t>
  </si>
  <si>
    <t>KFM2020660170441</t>
  </si>
  <si>
    <t>AEC2020830275655</t>
  </si>
  <si>
    <t xml:space="preserve">   مسجد السبيعى .</t>
  </si>
  <si>
    <t>KFM2020660229231</t>
  </si>
  <si>
    <t xml:space="preserve">   جامع السهباء .</t>
  </si>
  <si>
    <t>KFM2020660230893</t>
  </si>
  <si>
    <t>SMR2220661004671</t>
  </si>
  <si>
    <t xml:space="preserve">   مسجد      محمد      آل محيش .</t>
  </si>
  <si>
    <t>KFM2020660212721</t>
  </si>
  <si>
    <t xml:space="preserve">   اوقاف الدواسر - مسجد/جامع آلمفيز .</t>
  </si>
  <si>
    <t>KFM2020660206019</t>
  </si>
  <si>
    <t>KFM2120660257182</t>
  </si>
  <si>
    <t>KFM2020660207986</t>
  </si>
  <si>
    <t>ECC2320831067324</t>
  </si>
  <si>
    <t>SMR2220661004676</t>
  </si>
  <si>
    <t xml:space="preserve">   مسجد عائشة بنت أبي بكر .</t>
  </si>
  <si>
    <t>KFM2020660223959</t>
  </si>
  <si>
    <t>مسجد المطران/عيد حضرم الحربى / مخلوع .</t>
  </si>
  <si>
    <t>SMR2220661004338</t>
  </si>
  <si>
    <t xml:space="preserve">   اوقاف الخرج / مسجد عبدالعزيزالشد .</t>
  </si>
  <si>
    <t>KFM2120660260570</t>
  </si>
  <si>
    <t>SMR2220661003239</t>
  </si>
  <si>
    <t>KFM2020660230857</t>
  </si>
  <si>
    <t xml:space="preserve">   مسجدجامع  المرشد .</t>
  </si>
  <si>
    <t>KFM2020660234569</t>
  </si>
  <si>
    <t>SMR2320661030827</t>
  </si>
  <si>
    <t xml:space="preserve">   مسجد / عبدالعزيز الخنين .</t>
  </si>
  <si>
    <t>KFM2120660249819</t>
  </si>
  <si>
    <t xml:space="preserve">      مسجد/حسن عبدالهادى .</t>
  </si>
  <si>
    <t>MMF2020800219033</t>
  </si>
  <si>
    <t>DZG2020890014998</t>
  </si>
  <si>
    <t>MMF2020800319405</t>
  </si>
  <si>
    <t xml:space="preserve">   مسجدبن كهف /اوقاف الدواسر .</t>
  </si>
  <si>
    <t>MMF2020800259580</t>
  </si>
  <si>
    <t>SMR2220661011051</t>
  </si>
  <si>
    <t xml:space="preserve">   الاوقاف / مسجدالامام الليث بن سعد .</t>
  </si>
  <si>
    <t>KFM2020660169726</t>
  </si>
  <si>
    <t>KFM2120660256214</t>
  </si>
  <si>
    <t xml:space="preserve">   اوقاف الخرج/ مسجدالامام الاوزاعي .</t>
  </si>
  <si>
    <t>KFM2120660257160</t>
  </si>
  <si>
    <t xml:space="preserve">   مسجد اسامه بن زيد .</t>
  </si>
  <si>
    <t>KFM2020660177857</t>
  </si>
  <si>
    <t xml:space="preserve">   ادارةاوقاف(مسجد جنوب الخزان جديد .</t>
  </si>
  <si>
    <t>KFM2020660165159</t>
  </si>
  <si>
    <t>KFM2120660248794</t>
  </si>
  <si>
    <t xml:space="preserve">   مسجد      حاره      عوض .</t>
  </si>
  <si>
    <t>SMR2220761005444</t>
  </si>
  <si>
    <t xml:space="preserve">       جامع البصري .</t>
  </si>
  <si>
    <t>KFM2020660210948</t>
  </si>
  <si>
    <t xml:space="preserve">   مسجد الكريس  رقم (1) .</t>
  </si>
  <si>
    <t>KFM2020660230802</t>
  </si>
  <si>
    <t xml:space="preserve">   مسجد جامع الصفيه .</t>
  </si>
  <si>
    <t>KFM2020660234461</t>
  </si>
  <si>
    <t xml:space="preserve">   مسجد      عبدالله   ال صقر .</t>
  </si>
  <si>
    <t>KFM2020660176030</t>
  </si>
  <si>
    <t>KFM2120660302795</t>
  </si>
  <si>
    <t xml:space="preserve">   مسجد/ سمره بن جندب .</t>
  </si>
  <si>
    <t>KFM2020660230167</t>
  </si>
  <si>
    <t xml:space="preserve">      مسجد/ احمد عبدالله الحماد .</t>
  </si>
  <si>
    <t>MMF2020800219159</t>
  </si>
  <si>
    <t xml:space="preserve">   اوقاف الخرج/ مسجد الندى .</t>
  </si>
  <si>
    <t>KFM2120660264298</t>
  </si>
  <si>
    <t xml:space="preserve">   جامع الساحبه ببرك .</t>
  </si>
  <si>
    <t>KFM2020660193202</t>
  </si>
  <si>
    <t xml:space="preserve">      مسجد الصبيخه باسفل الباطن .</t>
  </si>
  <si>
    <t>AEC2020830153637</t>
  </si>
  <si>
    <t xml:space="preserve">   مسجد ال صفيان/اوقاف السليل .</t>
  </si>
  <si>
    <t>KFM2120660263527</t>
  </si>
  <si>
    <t>SMR2220661004489</t>
  </si>
  <si>
    <t>KFM2020660212433</t>
  </si>
  <si>
    <t xml:space="preserve">   مسجد الخريجى .</t>
  </si>
  <si>
    <t>KFM2120660246071</t>
  </si>
  <si>
    <t xml:space="preserve">   مسجد / سعيد بن المسيب .</t>
  </si>
  <si>
    <t>KFM2120660270820</t>
  </si>
  <si>
    <t xml:space="preserve"> اوقاف الخرج/مسجد عبدالعزيز/مجمع الف .</t>
  </si>
  <si>
    <t>KFM2120660260574</t>
  </si>
  <si>
    <t>KFM2020660207930</t>
  </si>
  <si>
    <t xml:space="preserve">   مسجد / آل وافي .</t>
  </si>
  <si>
    <t>KFM2120660247559</t>
  </si>
  <si>
    <t xml:space="preserve">  مسجد عبدالله بن عباس /اوقاف السليل .</t>
  </si>
  <si>
    <t>KFM2120660271518</t>
  </si>
  <si>
    <t>MMF2020800321321</t>
  </si>
  <si>
    <t xml:space="preserve">      اوقاف الدواسر/مسجد مباركحمدجا .</t>
  </si>
  <si>
    <t>KFM2020660174600</t>
  </si>
  <si>
    <t xml:space="preserve">   اوقاف الدواسر/ جامع ال ناهش .</t>
  </si>
  <si>
    <t>KFM2020660174684</t>
  </si>
  <si>
    <t xml:space="preserve">   جامع الأمير بندر بن محمد .</t>
  </si>
  <si>
    <t>KFM2020660150049</t>
  </si>
  <si>
    <t>المجمعة</t>
  </si>
  <si>
    <t>ﻓﺭﻉ ﺍﻻﻭﻗﺎﻑ ﻭﺍﻟﻤﺴﺎﺠﺩ .</t>
  </si>
  <si>
    <t>KFM2120660284428</t>
  </si>
  <si>
    <t>ثادق</t>
  </si>
  <si>
    <t>KFM2020660188225</t>
  </si>
  <si>
    <t>الزلفي</t>
  </si>
  <si>
    <t xml:space="preserve"> جامع/الشيخ عبدالعزيز ابراهيم المهنا .</t>
  </si>
  <si>
    <t>KFM2020660200674</t>
  </si>
  <si>
    <t>شقراء</t>
  </si>
  <si>
    <t>مسجد رقم 14 مخطط 113 بالقصب .</t>
  </si>
  <si>
    <t>KFM2120660243062</t>
  </si>
  <si>
    <t xml:space="preserve">      مسجدعبدالله العذل .</t>
  </si>
  <si>
    <t>KFM2020660150363</t>
  </si>
  <si>
    <t xml:space="preserve">      مسجد الغزى .</t>
  </si>
  <si>
    <t>KFM2020660204033</t>
  </si>
  <si>
    <t xml:space="preserve">   مسجد/ابراهيم المحارب .</t>
  </si>
  <si>
    <t>KFM2020760020374</t>
  </si>
  <si>
    <t xml:space="preserve">      مسجد الامير سلطان بن سعود بن .</t>
  </si>
  <si>
    <t>KFM2020660202132</t>
  </si>
  <si>
    <t>حريملاء</t>
  </si>
  <si>
    <t xml:space="preserve">   مسجد القشعمى .</t>
  </si>
  <si>
    <t>KFM2020660228121</t>
  </si>
  <si>
    <t xml:space="preserve">      مـسـجـد العيد بثادق .</t>
  </si>
  <si>
    <t>ECC2020811085216</t>
  </si>
  <si>
    <t xml:space="preserve">   مسجدالعصيمي .</t>
  </si>
  <si>
    <t>KFM2120660262436</t>
  </si>
  <si>
    <t xml:space="preserve">   جامع حي الزهره .</t>
  </si>
  <si>
    <t>KFM2020660228075</t>
  </si>
  <si>
    <t xml:space="preserve">   مسجد الذييب .</t>
  </si>
  <si>
    <t>KFM2120655003328</t>
  </si>
  <si>
    <t xml:space="preserve">   جامع الملك فهد بمرات-مخطط1056 .</t>
  </si>
  <si>
    <t>KFM2120660242945</t>
  </si>
  <si>
    <t>مرات</t>
  </si>
  <si>
    <t>ﺍﻭﻗﺎﻑ ﻭﻤﺴﺎﺠﺩ ( ) .</t>
  </si>
  <si>
    <t>KFM2120660280283</t>
  </si>
  <si>
    <t>ﺍﺩﺍﺭﻩ ﺍﻻﻭﻗﺎﻑ ﻭﺍﻟﻤﺴﺎﺠﺩ .</t>
  </si>
  <si>
    <t>SMR2220661018602</t>
  </si>
  <si>
    <t>ﻓﺭﻉ ﺍﻻﻭﻗﺎﻑ ﺒﺤﻭﻁﻩ ﺴﺩﻴﺭ .</t>
  </si>
  <si>
    <t>KFM2120660270194</t>
  </si>
  <si>
    <t>KFM2020660210556</t>
  </si>
  <si>
    <t xml:space="preserve">   مسجد أنس بن مالك بمرات .</t>
  </si>
  <si>
    <t>SMR2120765018635</t>
  </si>
  <si>
    <t>وقاف ومساجد الزلفي مسجدمحمدالمنصور .</t>
  </si>
  <si>
    <t>KFM2120660280279</t>
  </si>
  <si>
    <t>مسجد حبيس عبدالله الحبيس .</t>
  </si>
  <si>
    <t>KFM2120660280300</t>
  </si>
  <si>
    <t>KFM2020660201531</t>
  </si>
  <si>
    <t xml:space="preserve">   مسجد/الدحيم .</t>
  </si>
  <si>
    <t>KFM2020766128592</t>
  </si>
  <si>
    <t>الجامع الكبير بالمجمعة .</t>
  </si>
  <si>
    <t>KFM2020660225265</t>
  </si>
  <si>
    <t xml:space="preserve">   مسجد الميلم .</t>
  </si>
  <si>
    <t>KFM2020660156017</t>
  </si>
  <si>
    <t>KFM2020660201573</t>
  </si>
  <si>
    <t xml:space="preserve">   مسجدرقم(8)بحي التاهيل الشامل .</t>
  </si>
  <si>
    <t>KFM2020660200682</t>
  </si>
  <si>
    <t>جامع خادم الحرمين الشريفين بالغاط .</t>
  </si>
  <si>
    <t>KFM2120660273867</t>
  </si>
  <si>
    <t>الغاط</t>
  </si>
  <si>
    <t xml:space="preserve">   مسجدبريدةبن الحصيب .</t>
  </si>
  <si>
    <t>KFM2020660201603</t>
  </si>
  <si>
    <t xml:space="preserve">   مسجدسعودالطيار .</t>
  </si>
  <si>
    <t>KFM2020660110706</t>
  </si>
  <si>
    <t xml:space="preserve">      مسجد الجامع بحريملاء .</t>
  </si>
  <si>
    <t>KFM2020660208834</t>
  </si>
  <si>
    <t xml:space="preserve">   جامع الشيخ ابن عثمين .</t>
  </si>
  <si>
    <t>KFM2020660209930</t>
  </si>
  <si>
    <t>ﺃﻭﻗﺎﻑ ﻭﻤﺴﺎﺠﺩ ﺭﻤﺎﺡ .</t>
  </si>
  <si>
    <t>KFM2020660199681</t>
  </si>
  <si>
    <t>رماح</t>
  </si>
  <si>
    <t xml:space="preserve">   مسجد  سعيد بن جبير .</t>
  </si>
  <si>
    <t>KFM2020660207130</t>
  </si>
  <si>
    <t xml:space="preserve">      مسجد الحى رقم 2 المطار .</t>
  </si>
  <si>
    <t>KFM2020766162067</t>
  </si>
  <si>
    <t>مسجد خلف الخلف .</t>
  </si>
  <si>
    <t>KFM2020660200584</t>
  </si>
  <si>
    <t xml:space="preserve">   اوقاف الزلفي مسجدعقبه بن عامر .</t>
  </si>
  <si>
    <t>KFM2020766158250</t>
  </si>
  <si>
    <t xml:space="preserve">    مسجد خديجه بنت خويلد .</t>
  </si>
  <si>
    <t>KFM2120660250034</t>
  </si>
  <si>
    <t xml:space="preserve">   مـسـجـدالحميضى بالمخطط 366 .</t>
  </si>
  <si>
    <t>KFM2020760212547</t>
  </si>
  <si>
    <t xml:space="preserve">   اوقاف الزلفي(مسجدماجدالمنيع) .</t>
  </si>
  <si>
    <t>KFM2020766158139</t>
  </si>
  <si>
    <t xml:space="preserve">   مسجدصالح اليحي .</t>
  </si>
  <si>
    <t>KFM2020660160326</t>
  </si>
  <si>
    <t xml:space="preserve">   مسجد المخطط الشرقي بالروضه .</t>
  </si>
  <si>
    <t>KFM2020766062279</t>
  </si>
  <si>
    <t xml:space="preserve">   الاوقاف والمساجد بالقصب .</t>
  </si>
  <si>
    <t>KFM2020766132863</t>
  </si>
  <si>
    <t xml:space="preserve">   مسجد / الداود .</t>
  </si>
  <si>
    <t>KFM2120660284482</t>
  </si>
  <si>
    <t xml:space="preserve">   الاوقاف والمساجدمسجدالدريبي السلام .</t>
  </si>
  <si>
    <t>KFM2020660150136</t>
  </si>
  <si>
    <t xml:space="preserve">   مسجد/سعود العواد .</t>
  </si>
  <si>
    <t>KFM2020660207322</t>
  </si>
  <si>
    <t xml:space="preserve">   مسجد      محمد      الداود .</t>
  </si>
  <si>
    <t>KFM2120660236129</t>
  </si>
  <si>
    <t xml:space="preserve">   مسجدعبدالله ناصر الوهيب .</t>
  </si>
  <si>
    <t>SMR2120765009973</t>
  </si>
  <si>
    <t xml:space="preserve">   مسجد البرقيه .</t>
  </si>
  <si>
    <t>KFM2120660262704</t>
  </si>
  <si>
    <t xml:space="preserve">   مسجدمحمدالبابطين حي الشفاء .</t>
  </si>
  <si>
    <t>KFM2120660279213</t>
  </si>
  <si>
    <t xml:space="preserve">   جامع عثمان بن عفان بحي الجزيرة .</t>
  </si>
  <si>
    <t>KFM2020660200573</t>
  </si>
  <si>
    <t xml:space="preserve">   جامع الديره صالة المحاضرات .</t>
  </si>
  <si>
    <t>KFM2020660195715</t>
  </si>
  <si>
    <t xml:space="preserve">        مسجد الشيخ /عبدلعزيز الصالح .</t>
  </si>
  <si>
    <t>KFM2020760203201</t>
  </si>
  <si>
    <t xml:space="preserve">   الاوقاف مسجدمعاويه بن ابي سفيان .</t>
  </si>
  <si>
    <t>KFM2120660262743</t>
  </si>
  <si>
    <t xml:space="preserve">    مسجد الشافعى بعودة سدير/الزامل .</t>
  </si>
  <si>
    <t>KFM2020660210590</t>
  </si>
  <si>
    <t xml:space="preserve">   جامع بلدة غسله بالقرائن .</t>
  </si>
  <si>
    <t>KFM2120660270118</t>
  </si>
  <si>
    <t xml:space="preserve">      مسجد الداخله .</t>
  </si>
  <si>
    <t>KFM2020660211623</t>
  </si>
  <si>
    <t xml:space="preserve">   مسجد المثنى بن الحارثه .</t>
  </si>
  <si>
    <t>KFM2020660201605</t>
  </si>
  <si>
    <t xml:space="preserve">   مسجد/مقابل حي16/ .</t>
  </si>
  <si>
    <t>KFM2020760148999</t>
  </si>
  <si>
    <t xml:space="preserve">   مسجدالامام النووي .</t>
  </si>
  <si>
    <t>KFM2020660153852</t>
  </si>
  <si>
    <t>ﺃﻭﻗﺎﻑ ﻭﻤﺴﺎﺠﺩ ﺍﻟﻭﺸﻡ .</t>
  </si>
  <si>
    <t>ECC2420831031779</t>
  </si>
  <si>
    <t xml:space="preserve">   مسجدجعفربن ابي طالب .</t>
  </si>
  <si>
    <t>KFM2020766161997</t>
  </si>
  <si>
    <t>مسجد حمزه بن عبدالمطلب .</t>
  </si>
  <si>
    <t>MMF2020800073261</t>
  </si>
  <si>
    <t xml:space="preserve">   جامع الجوى .</t>
  </si>
  <si>
    <t>ECC2420841107808</t>
  </si>
  <si>
    <t xml:space="preserve">   أوقاف الزلفي مسجدالرحماء .</t>
  </si>
  <si>
    <t>KFM2020766133308</t>
  </si>
  <si>
    <t xml:space="preserve">   اوقاف الزلفي مسجدابن حجرالعسقلاني .</t>
  </si>
  <si>
    <t>KFM2020660210460</t>
  </si>
  <si>
    <t xml:space="preserve">   مسجد/بن القيم .</t>
  </si>
  <si>
    <t>KFM2020660228167</t>
  </si>
  <si>
    <t xml:space="preserve">      مسجد الحله الطالعيه .</t>
  </si>
  <si>
    <t>SMR2020856072200</t>
  </si>
  <si>
    <t xml:space="preserve">      مسجد قصر العيد والعجلان .</t>
  </si>
  <si>
    <t>KFM2020766154256</t>
  </si>
  <si>
    <t xml:space="preserve">   مسجد/السعيد .</t>
  </si>
  <si>
    <t>KFM2020766069470</t>
  </si>
  <si>
    <t xml:space="preserve">   مسجد العليويه .</t>
  </si>
  <si>
    <t>KFM2020660153954</t>
  </si>
  <si>
    <t xml:space="preserve">   مسجد/زيد بن الارقم .</t>
  </si>
  <si>
    <t>KFM2020660192424</t>
  </si>
  <si>
    <t xml:space="preserve">      مسجد حى رقم 18 .</t>
  </si>
  <si>
    <t>KFM2120760245063</t>
  </si>
  <si>
    <t xml:space="preserve">   مسجد صلا ح الدين .</t>
  </si>
  <si>
    <t>KFM2020660160385</t>
  </si>
  <si>
    <t xml:space="preserve">      مسجد بن عمار بالحزم .</t>
  </si>
  <si>
    <t>KFM2020760160112</t>
  </si>
  <si>
    <t xml:space="preserve">   مسجد      الشيخ     جماز .</t>
  </si>
  <si>
    <t>KFM2020660168508</t>
  </si>
  <si>
    <t xml:space="preserve">   مسجد عبدالرحمن بن حسان .</t>
  </si>
  <si>
    <t>KFM2020660160322</t>
  </si>
  <si>
    <t xml:space="preserve">    مسجدالمهاجرين .</t>
  </si>
  <si>
    <t>KFM2020766057447</t>
  </si>
  <si>
    <t xml:space="preserve">   مسجد العصيمي .</t>
  </si>
  <si>
    <t>KFM2020766054657</t>
  </si>
  <si>
    <t>KFM2120660281568</t>
  </si>
  <si>
    <t xml:space="preserve">      مسجد / الفحام .</t>
  </si>
  <si>
    <t>KFM2020766158227</t>
  </si>
  <si>
    <t xml:space="preserve">   مسجد/بن ضويحي .</t>
  </si>
  <si>
    <t>SMR2220761002796</t>
  </si>
  <si>
    <t xml:space="preserve">   مسجد عبدالله بن حميد .</t>
  </si>
  <si>
    <t>KFM2020660201536</t>
  </si>
  <si>
    <t xml:space="preserve">   مسجد العرباض بن سارية بعلقه .</t>
  </si>
  <si>
    <t>KFM2020660150008</t>
  </si>
  <si>
    <t xml:space="preserve">   مسجد المنخاس .</t>
  </si>
  <si>
    <t>KFM2020660138161</t>
  </si>
  <si>
    <t xml:space="preserve">   مسجدماجدالموسىالصناعية .</t>
  </si>
  <si>
    <t>KFM2020766159159</t>
  </si>
  <si>
    <t xml:space="preserve">   مسجدالمديد .</t>
  </si>
  <si>
    <t>KFM2020660199257</t>
  </si>
  <si>
    <t>KFM2120660240920</t>
  </si>
  <si>
    <t>SMR2420868043199</t>
  </si>
  <si>
    <t xml:space="preserve">      مسجد الغنام .</t>
  </si>
  <si>
    <t>KFM2020660207369</t>
  </si>
  <si>
    <t xml:space="preserve">   مسجد المعيجل .</t>
  </si>
  <si>
    <t>KFM2020660138166</t>
  </si>
  <si>
    <t xml:space="preserve">   مسجد الزنيدى .</t>
  </si>
  <si>
    <t>KFM2020660228175</t>
  </si>
  <si>
    <t xml:space="preserve">   مسجد عامر بن ثابت .</t>
  </si>
  <si>
    <t>KFM2020766162011</t>
  </si>
  <si>
    <t xml:space="preserve">   مسجد      الصناعية  الصناعية .</t>
  </si>
  <si>
    <t>KFM2020660150429</t>
  </si>
  <si>
    <t>ECC2020811047117</t>
  </si>
  <si>
    <t xml:space="preserve">   مسجد      الجردة بعودةسدير .</t>
  </si>
  <si>
    <t>KFM2020660210582</t>
  </si>
  <si>
    <t>مسجد ابو الدرداء .</t>
  </si>
  <si>
    <t>KFM2020760131979</t>
  </si>
  <si>
    <t xml:space="preserve">      مسجد شارع المحطه .</t>
  </si>
  <si>
    <t>KFM2020766062295</t>
  </si>
  <si>
    <t xml:space="preserve">   الاوقاف مسجدعبدالرحمن الداخل .</t>
  </si>
  <si>
    <t>KFM2120660236133</t>
  </si>
  <si>
    <t xml:space="preserve">   جامع الرحبه رقم 6 .</t>
  </si>
  <si>
    <t>KFM2020660177607</t>
  </si>
  <si>
    <t xml:space="preserve">   مسجد الالباني .</t>
  </si>
  <si>
    <t>KFM2020766073453</t>
  </si>
  <si>
    <t xml:space="preserve">   مسجدالحديقةالعامة بشقراء .</t>
  </si>
  <si>
    <t>KFM2020660153767</t>
  </si>
  <si>
    <t>KFM2020766090347</t>
  </si>
  <si>
    <t xml:space="preserve">   مسجد المتعب .</t>
  </si>
  <si>
    <t>KFM2020660134422</t>
  </si>
  <si>
    <t xml:space="preserve">   مسجد/احمد بن حنبل .</t>
  </si>
  <si>
    <t>KFM2020660228164</t>
  </si>
  <si>
    <t>ECC2020811090526</t>
  </si>
  <si>
    <t xml:space="preserve">      اوقاف الزلفى مسجد حى(5) .</t>
  </si>
  <si>
    <t>KFM2020660228163</t>
  </si>
  <si>
    <t xml:space="preserve">   مسجدالشيخ محمدالحسينان .</t>
  </si>
  <si>
    <t>KFM2020760207750</t>
  </si>
  <si>
    <t xml:space="preserve">   جامع رماح .</t>
  </si>
  <si>
    <t>KFM2020660199584</t>
  </si>
  <si>
    <t xml:space="preserve">      مسجد حى رقمـ10 .</t>
  </si>
  <si>
    <t>KFM2020660199254</t>
  </si>
  <si>
    <t xml:space="preserve">   جامع مخطط 366 رقم ـ1ـ .</t>
  </si>
  <si>
    <t>KFM2020660161321</t>
  </si>
  <si>
    <t>KFM2020766158184</t>
  </si>
  <si>
    <t>KFM2020660200665</t>
  </si>
  <si>
    <t xml:space="preserve">      مسجد/ العامر .</t>
  </si>
  <si>
    <t>KFM2020660199252</t>
  </si>
  <si>
    <t xml:space="preserve">   مسجدالفنتوخ .</t>
  </si>
  <si>
    <t>KFM2120660257512</t>
  </si>
  <si>
    <t xml:space="preserve">   مسجد مخطط التويم الجديد .</t>
  </si>
  <si>
    <t>KFM2020660211637</t>
  </si>
  <si>
    <t xml:space="preserve">   مسجد/العباس .</t>
  </si>
  <si>
    <t>KFM2020766158109</t>
  </si>
  <si>
    <t xml:space="preserve">   مسجد الوقف الثانى .</t>
  </si>
  <si>
    <t>KFM2020660200662</t>
  </si>
  <si>
    <t>مسجد مهنا المدالله .</t>
  </si>
  <si>
    <t>KFM2020660207111</t>
  </si>
  <si>
    <t xml:space="preserve">   مسجد جامع المشاش .</t>
  </si>
  <si>
    <t>ECC2020811109920</t>
  </si>
  <si>
    <t xml:space="preserve">    مسجد/ابى هريرة .</t>
  </si>
  <si>
    <t>KFM2020766138470</t>
  </si>
  <si>
    <t xml:space="preserve">   مسجدطارق بن عبدالله المحارب .</t>
  </si>
  <si>
    <t>KFM2020660207117</t>
  </si>
  <si>
    <t xml:space="preserve">   مسجد المعتق .</t>
  </si>
  <si>
    <t>KFM2020766073457</t>
  </si>
  <si>
    <t xml:space="preserve">   مسجد رافع بن ثابت .</t>
  </si>
  <si>
    <t>KFM2020766128678</t>
  </si>
  <si>
    <t xml:space="preserve">   مسجد.الحي رقم 15 .</t>
  </si>
  <si>
    <t>KFM2020766057488</t>
  </si>
  <si>
    <t xml:space="preserve">   مسجد الحى الشمالى .</t>
  </si>
  <si>
    <t>KFM2020660201566</t>
  </si>
  <si>
    <t>ECC2420841052481</t>
  </si>
  <si>
    <t xml:space="preserve">   اوقاف الزلفي مسجد الترمذى .</t>
  </si>
  <si>
    <t>KFM2020766054653</t>
  </si>
  <si>
    <t xml:space="preserve">   مسجد حديقة الحى الجنوبى .</t>
  </si>
  <si>
    <t>KFM2020660207352</t>
  </si>
  <si>
    <t xml:space="preserve">   مسجد بندر الجبر .</t>
  </si>
  <si>
    <t>KFM2020766073411</t>
  </si>
  <si>
    <t xml:space="preserve">     مسجدالعزيزية الشمالى بتمير .</t>
  </si>
  <si>
    <t>KFM2020660195749</t>
  </si>
  <si>
    <t xml:space="preserve">      مسجد الشعيبه .</t>
  </si>
  <si>
    <t>KFM2120660270192</t>
  </si>
  <si>
    <t xml:space="preserve">      مسجد/عثمان عبدالله السليمان .</t>
  </si>
  <si>
    <t>KFM2020760020423</t>
  </si>
  <si>
    <t xml:space="preserve">   مسجد/ القشعمى .</t>
  </si>
  <si>
    <t>KFM2020660160314</t>
  </si>
  <si>
    <t xml:space="preserve">    مسجد عبدالله حزام .</t>
  </si>
  <si>
    <t>KFM2020766158252</t>
  </si>
  <si>
    <t xml:space="preserve">   مسجد الحىرقم13 المطار .</t>
  </si>
  <si>
    <t>KFM2020660209926</t>
  </si>
  <si>
    <t xml:space="preserve">   مسجد المطوع .</t>
  </si>
  <si>
    <t>KFM2020766161965</t>
  </si>
  <si>
    <t xml:space="preserve">   مسجد الدارمي (الخيس سابقا) .</t>
  </si>
  <si>
    <t>KFM2020766158253</t>
  </si>
  <si>
    <t xml:space="preserve">   مسجد ابو عتيق .</t>
  </si>
  <si>
    <t>KFM2020660188229</t>
  </si>
  <si>
    <t xml:space="preserve">   اوقاف الزلفي مسجدحسان بن ثابت .</t>
  </si>
  <si>
    <t>KFM2020766128598</t>
  </si>
  <si>
    <t xml:space="preserve">      مسجد محمد بن سعد العواد .</t>
  </si>
  <si>
    <t>KFM2020760202712</t>
  </si>
  <si>
    <t xml:space="preserve">   مسجد محمدالمجحد .</t>
  </si>
  <si>
    <t>KFM2020760115408</t>
  </si>
  <si>
    <t xml:space="preserve">   اوقاف  تمير  مسجد الثلاثين .</t>
  </si>
  <si>
    <t>KFM2020660209951</t>
  </si>
  <si>
    <t xml:space="preserve">   مسجد الحارثة بن قيس .</t>
  </si>
  <si>
    <t>KFM2020766128709</t>
  </si>
  <si>
    <t xml:space="preserve">   الاوقاف    مسجد      الغانم .</t>
  </si>
  <si>
    <t>SMR2020856119351</t>
  </si>
  <si>
    <t xml:space="preserve">      اوقاف الزلفى مسجد م  /سمنان .</t>
  </si>
  <si>
    <t>KFM2020660228168</t>
  </si>
  <si>
    <t xml:space="preserve">   مسجد/الاوزاعي .</t>
  </si>
  <si>
    <t>KFM2020660210459</t>
  </si>
  <si>
    <t xml:space="preserve">   مسجدمعاذبن جبل .</t>
  </si>
  <si>
    <t>KFM2020660150072</t>
  </si>
  <si>
    <t xml:space="preserve">   الجامع الا وسط .</t>
  </si>
  <si>
    <t>KFM2020660207357</t>
  </si>
  <si>
    <t xml:space="preserve">   مسجدربعةالحصون .</t>
  </si>
  <si>
    <t>KFM2020766062308</t>
  </si>
  <si>
    <t xml:space="preserve">   مسجد حى المطلق .</t>
  </si>
  <si>
    <t>KFM2020660228114</t>
  </si>
  <si>
    <t xml:space="preserve">   جامع عمربن عبدالعزيز .</t>
  </si>
  <si>
    <t>KFM2020660188222</t>
  </si>
  <si>
    <t xml:space="preserve">   مسجد أويس  القرني بمرات .</t>
  </si>
  <si>
    <t>KFM2020766156487</t>
  </si>
  <si>
    <t xml:space="preserve">   مسجدبدرعبدالله الملحم .</t>
  </si>
  <si>
    <t>MMF2020800325367</t>
  </si>
  <si>
    <t xml:space="preserve">      مـسـجـد الجنيح بالروضه .</t>
  </si>
  <si>
    <t>KFM2120660279080</t>
  </si>
  <si>
    <t xml:space="preserve">   مسجد / زيد العليق .</t>
  </si>
  <si>
    <t>KFM2020660188289</t>
  </si>
  <si>
    <t xml:space="preserve">      مسجد شمالى الشعيبه .</t>
  </si>
  <si>
    <t>SMR2020850092351</t>
  </si>
  <si>
    <t xml:space="preserve">   وزارة الحجوالأوقاف   م بن جرالله .</t>
  </si>
  <si>
    <t>KFM2120660250913</t>
  </si>
  <si>
    <t xml:space="preserve">   مسجد اليحيا باشيقر .</t>
  </si>
  <si>
    <t>SMR2420761040499</t>
  </si>
  <si>
    <t xml:space="preserve">   مسجد التقى (اوقاف الزلفي). .</t>
  </si>
  <si>
    <t>KFM2020660210574</t>
  </si>
  <si>
    <t>مسجد محمد الموسى .</t>
  </si>
  <si>
    <t>KFM2020766159154</t>
  </si>
  <si>
    <t xml:space="preserve">   مكتب الاوقاف مسجد حى الملك فيصل .</t>
  </si>
  <si>
    <t>KFM2020766034174</t>
  </si>
  <si>
    <t xml:space="preserve">   مسجد      رقم  9    مخطط913 .</t>
  </si>
  <si>
    <t>LYE2020810122949</t>
  </si>
  <si>
    <t xml:space="preserve">   مسجدعثمان المحارب   اوقاف سدير .</t>
  </si>
  <si>
    <t>SMR2420761041052</t>
  </si>
  <si>
    <t xml:space="preserve">    مسجدالبديع .</t>
  </si>
  <si>
    <t>KFM2020660200582</t>
  </si>
  <si>
    <t xml:space="preserve">      مسجد الجامع بهلم .</t>
  </si>
  <si>
    <t>KFM2120660244169</t>
  </si>
  <si>
    <t xml:space="preserve">   مسجد عكرمة بن ابي جهل .</t>
  </si>
  <si>
    <t>KFM2020766073440</t>
  </si>
  <si>
    <t xml:space="preserve">     مسجد جامع الشعيبه بجلاجل .</t>
  </si>
  <si>
    <t>KFM2120660270197</t>
  </si>
  <si>
    <t>مسجد صلاح الدين .</t>
  </si>
  <si>
    <t>KFM2020760020920</t>
  </si>
  <si>
    <t xml:space="preserve">      مسجد الشهباء .</t>
  </si>
  <si>
    <t>KFM2020660192448</t>
  </si>
  <si>
    <t>ﻤﻜﺘﺏ ﺍﻭﻗﺎﻑ ﺍﻟﻤﺠﻤﻌﻩ (ﺍﻟﻤﺴﺎﺠﺩ) .</t>
  </si>
  <si>
    <t>KFM2120655001336</t>
  </si>
  <si>
    <t>SMR2420868000834</t>
  </si>
  <si>
    <t>KFM2020660207186</t>
  </si>
  <si>
    <t>جامع  مخطط 46 رماح .</t>
  </si>
  <si>
    <t>KFM2020660150022</t>
  </si>
  <si>
    <t xml:space="preserve">   اوقاف الزلفى / مسجد الحديقه .</t>
  </si>
  <si>
    <t>KFM2020660150362</t>
  </si>
  <si>
    <t xml:space="preserve">       مسجد عز الدين ابن الا ثير .</t>
  </si>
  <si>
    <t>KFM2020660201551</t>
  </si>
  <si>
    <t xml:space="preserve">   جامع اشيقر .</t>
  </si>
  <si>
    <t>KFM2020660173745</t>
  </si>
  <si>
    <t xml:space="preserve">   أوقاف الزلفي مسجدأسامه بن شريك .</t>
  </si>
  <si>
    <t>KFM2020766057489</t>
  </si>
  <si>
    <t xml:space="preserve">   مسجد/الامام الشافعي .</t>
  </si>
  <si>
    <t>KFM2020766161975</t>
  </si>
  <si>
    <t xml:space="preserve">   مسجدالصغيربحي السلام .</t>
  </si>
  <si>
    <t>KFM2020766133212</t>
  </si>
  <si>
    <t>مسجد سعود المشقور .</t>
  </si>
  <si>
    <t>KFM2020760131695</t>
  </si>
  <si>
    <t xml:space="preserve">   مسجدالشيخ/عبدالله الغديان .</t>
  </si>
  <si>
    <t>KFM2020660200588</t>
  </si>
  <si>
    <t xml:space="preserve">   مسجد الداهنه رقم  2 .</t>
  </si>
  <si>
    <t>KFM2020760178245</t>
  </si>
  <si>
    <t xml:space="preserve">     مسجد الظهره .</t>
  </si>
  <si>
    <t>KFM2020760184511</t>
  </si>
  <si>
    <t xml:space="preserve">   المسجد الجنوبى بالحى الجديد .</t>
  </si>
  <si>
    <t>KFM2020766085768</t>
  </si>
  <si>
    <t xml:space="preserve">   مسجد/ الحى الجنوبى بعلقه .</t>
  </si>
  <si>
    <t>KFM2020660150007</t>
  </si>
  <si>
    <t xml:space="preserve">      وزارهالحجوالاوقاف /مسجدامسدره .</t>
  </si>
  <si>
    <t>ECC2020811054865</t>
  </si>
  <si>
    <t xml:space="preserve">   الاوقاف مسجدالامام تركي بن عبدالله .</t>
  </si>
  <si>
    <t>KFM2020660201587</t>
  </si>
  <si>
    <t xml:space="preserve">   مسجد الهيئه .</t>
  </si>
  <si>
    <t>KFM2020766161972</t>
  </si>
  <si>
    <t xml:space="preserve">    مسجدعبدالكريم البدر .</t>
  </si>
  <si>
    <t>KFM2020660201491</t>
  </si>
  <si>
    <t>KFM2020766158162</t>
  </si>
  <si>
    <t>مسجد المدارس الشمالي بجلاجل .</t>
  </si>
  <si>
    <t>SMR2020856141258</t>
  </si>
  <si>
    <t xml:space="preserve">   اوقاف الزلفي(مسجدالاحسان) .</t>
  </si>
  <si>
    <t>KFM2020766158128</t>
  </si>
  <si>
    <t xml:space="preserve">     مسجد محمد الصبيح .</t>
  </si>
  <si>
    <t>KFM2020660195743</t>
  </si>
  <si>
    <t xml:space="preserve">   مسجدالشيخ عبدالله بن عبدان .</t>
  </si>
  <si>
    <t>KFM2020766158204</t>
  </si>
  <si>
    <t xml:space="preserve">   مسجد/الفحام .</t>
  </si>
  <si>
    <t>ECC2020811050533</t>
  </si>
  <si>
    <t>مسجد تركي الماضي . .</t>
  </si>
  <si>
    <t>KFM2120660279149</t>
  </si>
  <si>
    <t xml:space="preserve">      المسجد الطالعى .</t>
  </si>
  <si>
    <t>LYE2020810278940</t>
  </si>
  <si>
    <t xml:space="preserve">   مسجد سالم .</t>
  </si>
  <si>
    <t>KFM2120660262680</t>
  </si>
  <si>
    <t xml:space="preserve">   مسجدتميم بن اوس .</t>
  </si>
  <si>
    <t>KFM2020660228171</t>
  </si>
  <si>
    <t xml:space="preserve">   مسجدأم حمدان بحي السلام .</t>
  </si>
  <si>
    <t>KFM2020766067676</t>
  </si>
  <si>
    <t xml:space="preserve">   مسجد  على العبدالقادر .</t>
  </si>
  <si>
    <t>KFM2020660134543</t>
  </si>
  <si>
    <t xml:space="preserve">    مسجداسعد بن يزيد .</t>
  </si>
  <si>
    <t>KFM2020766073452</t>
  </si>
  <si>
    <t xml:space="preserve">    مسجد عثمان بن عفان بثرمداء .</t>
  </si>
  <si>
    <t>KFM2120660251114</t>
  </si>
  <si>
    <t>مسجد خالد بن الوليد .</t>
  </si>
  <si>
    <t>KFM2020660199650</t>
  </si>
  <si>
    <t xml:space="preserve">   مسجد حمود الطريقى .</t>
  </si>
  <si>
    <t>KFM2020766128366</t>
  </si>
  <si>
    <t xml:space="preserve">   مسجد ذعار بن هاجد  مركز مليح .</t>
  </si>
  <si>
    <t>KFM2020766040476</t>
  </si>
  <si>
    <t xml:space="preserve">   مسجد الحى رقم 9 المطار .</t>
  </si>
  <si>
    <t>KFM2020660207196</t>
  </si>
  <si>
    <t>KFM2020766158171</t>
  </si>
  <si>
    <t>LYE2020830020226</t>
  </si>
  <si>
    <t xml:space="preserve">   وزارة الاوقاف- مسجد2- مخطط 51 .</t>
  </si>
  <si>
    <t>KFM2020766056799</t>
  </si>
  <si>
    <t>KFM2020766067732</t>
  </si>
  <si>
    <t xml:space="preserve">   مسجد/الامام مالك .</t>
  </si>
  <si>
    <t>KFM2020660160353</t>
  </si>
  <si>
    <t xml:space="preserve">   مسجد الأنصار بالبطين الجنوبي .</t>
  </si>
  <si>
    <t>KFM2020766146148</t>
  </si>
  <si>
    <t xml:space="preserve">      مسجد الزامل .</t>
  </si>
  <si>
    <t>KFM2020766076756</t>
  </si>
  <si>
    <t xml:space="preserve">    جامع المساعديه .</t>
  </si>
  <si>
    <t>KFM2020766040393</t>
  </si>
  <si>
    <t xml:space="preserve">   أوقاف الزلفي مسجدعميربن أبي وقاص .</t>
  </si>
  <si>
    <t>KFM2020766147181</t>
  </si>
  <si>
    <t xml:space="preserve">   مسجدالخالديةرقم 2/ .</t>
  </si>
  <si>
    <t>KFM2020766095278</t>
  </si>
  <si>
    <t xml:space="preserve">   مسجد/محمدبن عبدالوهاب .</t>
  </si>
  <si>
    <t>KFM2020766154406</t>
  </si>
  <si>
    <t>ECC2420841052483</t>
  </si>
  <si>
    <t xml:space="preserve">   مسجد أنس  بن النصير (عميش ) 92 .</t>
  </si>
  <si>
    <t>LYE2020810122959</t>
  </si>
  <si>
    <t>SMR2120765017056</t>
  </si>
  <si>
    <t>مسجد علي شليان .</t>
  </si>
  <si>
    <t>AEC2020830543719</t>
  </si>
  <si>
    <t xml:space="preserve">      مـسـجـد الحواشيه بجلاجل .</t>
  </si>
  <si>
    <t>SMR2020856136341</t>
  </si>
  <si>
    <t xml:space="preserve">    مسجد محمد بن سيف .</t>
  </si>
  <si>
    <t>KFM2120660257526</t>
  </si>
  <si>
    <t xml:space="preserve">   مسجد نموذجيه جلاجل .</t>
  </si>
  <si>
    <t>KFM2020660211663</t>
  </si>
  <si>
    <t xml:space="preserve">   جامع جوي 11 .</t>
  </si>
  <si>
    <t>KFM2020660226049</t>
  </si>
  <si>
    <t xml:space="preserve">   مكتب اوقافحوطة سدير الداخله .</t>
  </si>
  <si>
    <t>KFM2020766062286</t>
  </si>
  <si>
    <t xml:space="preserve">   مسجد محمد الاحمد الاصفر .</t>
  </si>
  <si>
    <t>KFM2020766128702</t>
  </si>
  <si>
    <t xml:space="preserve">    مسجدالمدالله .</t>
  </si>
  <si>
    <t>KFM2020766167891</t>
  </si>
  <si>
    <t xml:space="preserve"> مكتب الاوقاف /مسجد الشفاء با الروضه .</t>
  </si>
  <si>
    <t>KFM2020766062236</t>
  </si>
  <si>
    <t xml:space="preserve">      اوقاف الزلفى / مسجد حى 12 .</t>
  </si>
  <si>
    <t>KFM2020660201583</t>
  </si>
  <si>
    <t xml:space="preserve">   جامع والدةأبناء سعد الصيفي .</t>
  </si>
  <si>
    <t>KFM2020660199594</t>
  </si>
  <si>
    <t xml:space="preserve">   مسجد مصعب بن الزبير .</t>
  </si>
  <si>
    <t>KFM2020766158245</t>
  </si>
  <si>
    <t xml:space="preserve">   مسجدعلي الحمران .</t>
  </si>
  <si>
    <t>KFM2020660135337</t>
  </si>
  <si>
    <t xml:space="preserve">   مسجد      جامع      جلاجل .</t>
  </si>
  <si>
    <t>KFM2120660257589</t>
  </si>
  <si>
    <t>SMR2220661018311</t>
  </si>
  <si>
    <t>مسجد الامام أحمد بن حنبل .</t>
  </si>
  <si>
    <t>KFM2120660242968</t>
  </si>
  <si>
    <t xml:space="preserve">   اوقاف     الزلفي    المهنا .</t>
  </si>
  <si>
    <t>KFM2020660201560</t>
  </si>
  <si>
    <t xml:space="preserve">   مسجد احمدالحميدان .</t>
  </si>
  <si>
    <t>KFM2020660201501</t>
  </si>
  <si>
    <t xml:space="preserve">   اوقاف     تمير      حى الملك فيص .</t>
  </si>
  <si>
    <t>KFM2020766034177</t>
  </si>
  <si>
    <t xml:space="preserve">      اوقاف الزلفى .</t>
  </si>
  <si>
    <t>KFM2120660280228</t>
  </si>
  <si>
    <t xml:space="preserve">   المسجد الشمالى بالوقف .</t>
  </si>
  <si>
    <t>KFM2020660154932</t>
  </si>
  <si>
    <t>مسجد الشيخ عبدالعزيز بن باز .</t>
  </si>
  <si>
    <t>ECC2020810819619</t>
  </si>
  <si>
    <t>ﻤﻜﺘﺏ ﺒﻟﺩﻴﺓ ﺍﻟﻗﺼﺏ .</t>
  </si>
  <si>
    <t>KFM2020766132738</t>
  </si>
  <si>
    <t xml:space="preserve">   مسجدالأخلاص .</t>
  </si>
  <si>
    <t>KFM2020766160011</t>
  </si>
  <si>
    <t>مسجد جبير بن عبدالله (101) .</t>
  </si>
  <si>
    <t>DZG2020830011342</t>
  </si>
  <si>
    <t xml:space="preserve">   اوقاف الزلفي (مسجدالرايه) .</t>
  </si>
  <si>
    <t>KFM2020660201468</t>
  </si>
  <si>
    <t>جامع منيره التويجري .</t>
  </si>
  <si>
    <t>KFM2020660210009</t>
  </si>
  <si>
    <t xml:space="preserve">   اوقاف  حوطة سدير مسجد مخطط   751 .</t>
  </si>
  <si>
    <t>KFM2020766146093</t>
  </si>
  <si>
    <t>KFM2120655002474</t>
  </si>
  <si>
    <t xml:space="preserve">   مسجدرقم(1)بمخطط(28)في القصب .</t>
  </si>
  <si>
    <t>KFM2020766156327</t>
  </si>
  <si>
    <t>مسجد الشيخ محمد بن عثيمين .</t>
  </si>
  <si>
    <t>KFM2020660195850</t>
  </si>
  <si>
    <t>KFM2120660244056</t>
  </si>
  <si>
    <t>SMR2320661030362</t>
  </si>
  <si>
    <t>مسجد عبدالله بن مسعود بأثيثيه .</t>
  </si>
  <si>
    <t>KFM2020766161821</t>
  </si>
  <si>
    <t xml:space="preserve">   مسجد عبدالله الفجر .</t>
  </si>
  <si>
    <t>KFM2020766040440</t>
  </si>
  <si>
    <t>ECC2420841051397</t>
  </si>
  <si>
    <t xml:space="preserve">   مسجد      المصخ     رماح .</t>
  </si>
  <si>
    <t>KFM2120655004250</t>
  </si>
  <si>
    <t>SMR2220661018797</t>
  </si>
  <si>
    <t xml:space="preserve">   اوقاف الزلفي مسجدعبدالعزيزالعبيد .</t>
  </si>
  <si>
    <t>KFM2020766158199</t>
  </si>
  <si>
    <t xml:space="preserve">   مسجد      هجره      غالب ماجد .</t>
  </si>
  <si>
    <t>KFM2120660267491</t>
  </si>
  <si>
    <t>مسجد الحاير الشمالي .</t>
  </si>
  <si>
    <t>MMF2020800263128</t>
  </si>
  <si>
    <t>مسجد محمد عبدالعزيز البابطين .</t>
  </si>
  <si>
    <t>AEC2020830234918</t>
  </si>
  <si>
    <t xml:space="preserve">   اوقاف الزلفي/مسجدسلمان الفارسي .</t>
  </si>
  <si>
    <t>KFM2020660134548</t>
  </si>
  <si>
    <t>KFM2020660177617</t>
  </si>
  <si>
    <t xml:space="preserve">   مسجد/ ماجد فالح المديري .</t>
  </si>
  <si>
    <t>KFM2020760229528</t>
  </si>
  <si>
    <t xml:space="preserve">   مسجدالجامع بالمخطط الجديد .</t>
  </si>
  <si>
    <t>KFM2120660273515</t>
  </si>
  <si>
    <t xml:space="preserve">   مسجد حى رقم 17 .</t>
  </si>
  <si>
    <t>KFM2020766054724</t>
  </si>
  <si>
    <t xml:space="preserve">   اوقاف الزلفي مسجدسليمان بن عبدال .</t>
  </si>
  <si>
    <t>KFM2120660257532</t>
  </si>
  <si>
    <t xml:space="preserve">   مسجد المسـعود .</t>
  </si>
  <si>
    <t>SMR2320761020961</t>
  </si>
  <si>
    <t>جامع ناصر السهو ( عشيرة ) .</t>
  </si>
  <si>
    <t>KFM2020660150034</t>
  </si>
  <si>
    <t xml:space="preserve">   مكتب الاوقاف بحوطة سديرمسجدحى بدر .</t>
  </si>
  <si>
    <t>KFM2020766129535</t>
  </si>
  <si>
    <t xml:space="preserve">   مسجد عبدالرحمن العصيمي .</t>
  </si>
  <si>
    <t>KFM2120660280309</t>
  </si>
  <si>
    <t>مسجد نورة طامي المحلسي .</t>
  </si>
  <si>
    <t>ECC2020810745977</t>
  </si>
  <si>
    <t xml:space="preserve">   اوقاف الزلفي مسجدكعب بن مالك .</t>
  </si>
  <si>
    <t>KFM2020766147184</t>
  </si>
  <si>
    <t xml:space="preserve">   جامع التميمي بالمسمى .</t>
  </si>
  <si>
    <t>KFM2020660199997</t>
  </si>
  <si>
    <t xml:space="preserve">   مسجد/ورثه ابراهيم صالح المهنأ .</t>
  </si>
  <si>
    <t>KFM2020766085750</t>
  </si>
  <si>
    <t xml:space="preserve">   جامع النور مخطط رقم 428 بشقراء .</t>
  </si>
  <si>
    <t>KFM2020660200010</t>
  </si>
  <si>
    <t xml:space="preserve">      مسجد انس ابن معاذ .</t>
  </si>
  <si>
    <t>ECC2020811050273</t>
  </si>
  <si>
    <t xml:space="preserve">   جامع القصر بالقصب .</t>
  </si>
  <si>
    <t>KFM2020660210463</t>
  </si>
  <si>
    <t xml:space="preserve">   مسجدعقبه بن نافع .</t>
  </si>
  <si>
    <t>KFM2020660153894</t>
  </si>
  <si>
    <t xml:space="preserve">   مسجد      الرحمانية مسجد .</t>
  </si>
  <si>
    <t>ECC2020811046086</t>
  </si>
  <si>
    <t xml:space="preserve">   مسجدرقم(6) مخطط 906بشقراء .</t>
  </si>
  <si>
    <t>KFM2020766159942</t>
  </si>
  <si>
    <t xml:space="preserve">   الاوقاف    مسجد      البابطين .</t>
  </si>
  <si>
    <t>KFM2020660211556</t>
  </si>
  <si>
    <t xml:space="preserve">   مسجد       الشيخ      الراشد .</t>
  </si>
  <si>
    <t>KFM2020660168553</t>
  </si>
  <si>
    <t xml:space="preserve">   مسجد البير .</t>
  </si>
  <si>
    <t>KFM2020766165169</t>
  </si>
  <si>
    <t xml:space="preserve">   ادارة     الا وقاف   (المسجدالجام .</t>
  </si>
  <si>
    <t>KFM2120660242986</t>
  </si>
  <si>
    <t xml:space="preserve">    مسجدحىرقم18مطارشمالىبنيدرالعتيبى .</t>
  </si>
  <si>
    <t>KFM2020660150138</t>
  </si>
  <si>
    <t xml:space="preserve">   مسجد/ عبد العزيز المهوس .</t>
  </si>
  <si>
    <t>ECC2020811094147</t>
  </si>
  <si>
    <t>فرع الا وقاف والمساجد .</t>
  </si>
  <si>
    <t>KFM2020760212491</t>
  </si>
  <si>
    <t>KFM2120660272127</t>
  </si>
  <si>
    <t xml:space="preserve">   جامع الثليماء/اوقاف القويعيه .</t>
  </si>
  <si>
    <t>KFM2020660206847</t>
  </si>
  <si>
    <t>KFM2020760203041</t>
  </si>
  <si>
    <t>SMR2220761015734</t>
  </si>
  <si>
    <t xml:space="preserve">     مكتب  اوقاف  مسجد حي  العزيزيه .</t>
  </si>
  <si>
    <t>KFM2020660195705</t>
  </si>
  <si>
    <t xml:space="preserve">    مسجد زيد المنيفي .</t>
  </si>
  <si>
    <t>KFM2020660150369</t>
  </si>
  <si>
    <t xml:space="preserve">    مسجد علي بن أبي طالب .</t>
  </si>
  <si>
    <t>KFM2020766040438</t>
  </si>
  <si>
    <t xml:space="preserve">      مسجد شمال مخطط العوده .</t>
  </si>
  <si>
    <t>KFM2020766145757</t>
  </si>
  <si>
    <t xml:space="preserve">   مسجد محمد يوسف الشعلان ووالديه .</t>
  </si>
  <si>
    <t>KFM2020766132758</t>
  </si>
  <si>
    <t xml:space="preserve">  مسجد القاسم بن محمد بن أبي بكر 84 .</t>
  </si>
  <si>
    <t>KFM2020760009387</t>
  </si>
  <si>
    <t xml:space="preserve">   المسجدالجامعبالداهنه .</t>
  </si>
  <si>
    <t>KFM2020660200542</t>
  </si>
  <si>
    <t>جامع الامير محمد بن سعود .</t>
  </si>
  <si>
    <t>KFM2120660242947</t>
  </si>
  <si>
    <t xml:space="preserve">    مسجد  مخطط عشيره .</t>
  </si>
  <si>
    <t>KFM2020660210659</t>
  </si>
  <si>
    <t>KFM2020660190654</t>
  </si>
  <si>
    <t>مسجد محمد الرميح .</t>
  </si>
  <si>
    <t>KFM2020760020358</t>
  </si>
  <si>
    <t>AEC2020830243340</t>
  </si>
  <si>
    <t>ASH2420800013442</t>
  </si>
  <si>
    <t>AEC2020830117467</t>
  </si>
  <si>
    <t>GTR2320890757131</t>
  </si>
  <si>
    <t xml:space="preserve">   مسجد الشيخ ابراهيم على الناصر .</t>
  </si>
  <si>
    <t>KFM2020766048364</t>
  </si>
  <si>
    <t xml:space="preserve">      جــــامــــع مخطط رغبه .</t>
  </si>
  <si>
    <t>KFM2120660275718</t>
  </si>
  <si>
    <t xml:space="preserve">   مسجدالشيخ عبدالله العمار .</t>
  </si>
  <si>
    <t>AEC2020830571991</t>
  </si>
  <si>
    <t xml:space="preserve">   مسجد النور بمحافظة شقراء .</t>
  </si>
  <si>
    <t>KFM2020660199976</t>
  </si>
  <si>
    <t xml:space="preserve">   مسجد مخطط 375 .</t>
  </si>
  <si>
    <t>AEC2020830327742</t>
  </si>
  <si>
    <t xml:space="preserve">   ادارة     الأوقاف    والدعوه .</t>
  </si>
  <si>
    <t>ECC2320831052495</t>
  </si>
  <si>
    <t>مسجد ابن العمى .</t>
  </si>
  <si>
    <t>AEC2020830317894</t>
  </si>
  <si>
    <t xml:space="preserve">   مسجد      عثمان     ملهم .</t>
  </si>
  <si>
    <t>KFM2020760184554</t>
  </si>
  <si>
    <t xml:space="preserve">   مسجد العليوي .</t>
  </si>
  <si>
    <t>KFM2020660160340</t>
  </si>
  <si>
    <t xml:space="preserve">   مسجد      الشيخ     الصالح بالحز .</t>
  </si>
  <si>
    <t>KFM2020660191220</t>
  </si>
  <si>
    <t xml:space="preserve">   اوقاف الزلفى مسجد حمود الشايع .</t>
  </si>
  <si>
    <t>KFM2020660188228</t>
  </si>
  <si>
    <t>KFM2120660262462</t>
  </si>
  <si>
    <t xml:space="preserve">   مسجد حى المستشفي بتمير .</t>
  </si>
  <si>
    <t>KFM2020766154357</t>
  </si>
  <si>
    <t>SMR2020856120667</t>
  </si>
  <si>
    <t xml:space="preserve">   مسجدبلال بن رباح بأشيقر .</t>
  </si>
  <si>
    <t>KFM2020766121677</t>
  </si>
  <si>
    <t xml:space="preserve">   مسجد الحىرقم 8 المطار .</t>
  </si>
  <si>
    <t>KFM2020660201591</t>
  </si>
  <si>
    <t xml:space="preserve">   مسجد      رقم (1)   بحريملاء .</t>
  </si>
  <si>
    <t>AEC2020830575327</t>
  </si>
  <si>
    <t xml:space="preserve">   مسجد      الرفيعه   حريملا ء .</t>
  </si>
  <si>
    <t>AEC2020830322827</t>
  </si>
  <si>
    <t xml:space="preserve">   مسجد الراجحي .</t>
  </si>
  <si>
    <t>KFM2020660172466</t>
  </si>
  <si>
    <t>الدوادمي</t>
  </si>
  <si>
    <t xml:space="preserve">      جامع سوق  طحى .</t>
  </si>
  <si>
    <t>SMR2220661011880</t>
  </si>
  <si>
    <t>القويعية</t>
  </si>
  <si>
    <t xml:space="preserve">   مسجد      فرعة      بالحصاة .</t>
  </si>
  <si>
    <t>KFM2120660301699</t>
  </si>
  <si>
    <t>الرين</t>
  </si>
  <si>
    <t xml:space="preserve">   مسجد      الا وقاف   . .</t>
  </si>
  <si>
    <t>KFM2020660171136</t>
  </si>
  <si>
    <t xml:space="preserve">   مسجد/حي الشهبا/محمدبن صقر .</t>
  </si>
  <si>
    <t>KFM2020766102002</t>
  </si>
  <si>
    <t xml:space="preserve">   مسجد   جامع   قرية  ثرب        0 .</t>
  </si>
  <si>
    <t>KFM2020660209839</t>
  </si>
  <si>
    <t>المهد</t>
  </si>
  <si>
    <t>حمد عبدالله الدوسري .</t>
  </si>
  <si>
    <t>KFM2020660137642</t>
  </si>
  <si>
    <t xml:space="preserve">   مسجد المخطط الغربى ـ أوثيلان .</t>
  </si>
  <si>
    <t>SMR2320761022434</t>
  </si>
  <si>
    <t xml:space="preserve">      مسجد/بندر حميان حمود .</t>
  </si>
  <si>
    <t>KFM2020660129416</t>
  </si>
  <si>
    <t xml:space="preserve">   مسجد عسيله الشرقي .</t>
  </si>
  <si>
    <t>KFM2020660153886</t>
  </si>
  <si>
    <t>ﻭﺯﺍﺭﺓﺍﻻﻭﻗﺎﻑ ـ ﺍﻭﻗﺎﻑ ﺍﻟﺩﻭﺍﺩﻤﻲ .</t>
  </si>
  <si>
    <t>KFM2020660204168</t>
  </si>
  <si>
    <t xml:space="preserve">   الجامع الكبير بساجر .</t>
  </si>
  <si>
    <t>KFM2020660126677</t>
  </si>
  <si>
    <t>ﻭﺯﺍﺭﺓﺍﻻﻭﻗﺎﻑ _ﺍﻭﻗﺎﻑ ﺍﻟﺠﻤﺵ .</t>
  </si>
  <si>
    <t>KFM2020660172901</t>
  </si>
  <si>
    <t xml:space="preserve">      المسجد الجامع الكبير .</t>
  </si>
  <si>
    <t>KFM2020660176242</t>
  </si>
  <si>
    <t xml:space="preserve">   مسجد      خط الحجاز 0 .</t>
  </si>
  <si>
    <t>KFM2020660176219</t>
  </si>
  <si>
    <t>ﺃﻭﻗﺎﻑ ﻭﻤﺴﺎﺠﺩ ﺍﻟﻗﻭﻴﻌﻴﻩ .</t>
  </si>
  <si>
    <t>SMR2220661005983</t>
  </si>
  <si>
    <t xml:space="preserve">   اوقاف مسجدعمربن خطاب .</t>
  </si>
  <si>
    <t>KFM2020766167702</t>
  </si>
  <si>
    <t xml:space="preserve">   مسجد      النهضه    بالدوادمي .</t>
  </si>
  <si>
    <t>KFM2020660172350</t>
  </si>
  <si>
    <t xml:space="preserve">   اوقاف القويعية/جامع ابوبكرالصديق .</t>
  </si>
  <si>
    <t>KFM2120660240473</t>
  </si>
  <si>
    <t>KFM2120660241031</t>
  </si>
  <si>
    <t xml:space="preserve">   مسجدالأ ميربدر بن عبدالعزيز .</t>
  </si>
  <si>
    <t>KFM2120660280915</t>
  </si>
  <si>
    <t>ضرما</t>
  </si>
  <si>
    <t xml:space="preserve">   جامع/ الحي الشمالي .</t>
  </si>
  <si>
    <t>KFM2120660241438</t>
  </si>
  <si>
    <t>أوقاف ومساجد القويعيه .</t>
  </si>
  <si>
    <t>KFM2020660167711</t>
  </si>
  <si>
    <t>SMR2020850089100</t>
  </si>
  <si>
    <t xml:space="preserve">   مسجد/غازي النفيعي .</t>
  </si>
  <si>
    <t>MMF2420801307039</t>
  </si>
  <si>
    <t xml:space="preserve">   مسجد / مشرفه .</t>
  </si>
  <si>
    <t>SMR2420661036504</t>
  </si>
  <si>
    <t xml:space="preserve">   مسجد      الدخل     //////////// .</t>
  </si>
  <si>
    <t>KFM2020660189978</t>
  </si>
  <si>
    <t xml:space="preserve">   مسجد/خالد بن الوليد بنجخ .</t>
  </si>
  <si>
    <t>KFM2020660172903</t>
  </si>
  <si>
    <t xml:space="preserve">      مسجد ضيف الله خويطر .</t>
  </si>
  <si>
    <t>KFM2020766133975</t>
  </si>
  <si>
    <t xml:space="preserve">   مسجد  الحى  الجنوبى  بمصده .</t>
  </si>
  <si>
    <t>LYE2020810023144</t>
  </si>
  <si>
    <t xml:space="preserve">   مسجد      الروضه    ///// .</t>
  </si>
  <si>
    <t>KFM2020660172444</t>
  </si>
  <si>
    <t xml:space="preserve">   جامع      الدسمه    //////////// .</t>
  </si>
  <si>
    <t>KFM2020660176207</t>
  </si>
  <si>
    <t xml:space="preserve">   المسجدالجامع بالخفيفية .</t>
  </si>
  <si>
    <t>KFM2020660173189</t>
  </si>
  <si>
    <t xml:space="preserve">   المسجد الجامع بالحيد .</t>
  </si>
  <si>
    <t>KFM2020660223805</t>
  </si>
  <si>
    <t xml:space="preserve">   مسجد/ عبدالرحمن سعد المشوح .</t>
  </si>
  <si>
    <t>KFM2020660129415</t>
  </si>
  <si>
    <t>KFM2020660199309</t>
  </si>
  <si>
    <t xml:space="preserve">   مسجد .</t>
  </si>
  <si>
    <t>KFM2020660189771</t>
  </si>
  <si>
    <t xml:space="preserve">   مسجد/سعد سعود المسعدالكرشمي .</t>
  </si>
  <si>
    <t>KFM2020660204281</t>
  </si>
  <si>
    <t xml:space="preserve">   مسجد /مريم مطلق العتيبي .</t>
  </si>
  <si>
    <t>KFM2020766077788</t>
  </si>
  <si>
    <t xml:space="preserve">   مسجد الربوة .</t>
  </si>
  <si>
    <t>KFM2020660204407</t>
  </si>
  <si>
    <t xml:space="preserve">   مسجد قرية الروسان .</t>
  </si>
  <si>
    <t>KFM2120660253514</t>
  </si>
  <si>
    <t xml:space="preserve">   مسجـد مخطط 433 .</t>
  </si>
  <si>
    <t>KFM2020660163311</t>
  </si>
  <si>
    <t>مسجد الاسكان ( 2 ) .</t>
  </si>
  <si>
    <t>KFM2020660200624</t>
  </si>
  <si>
    <t xml:space="preserve">   جامع   مسجد   قرية   الهميجه .</t>
  </si>
  <si>
    <t>KFM2020766087238</t>
  </si>
  <si>
    <t xml:space="preserve">   مسجد      الرباعين  بنفي .</t>
  </si>
  <si>
    <t>KFM2120660252040</t>
  </si>
  <si>
    <t xml:space="preserve">   مسجد      المخطط    //////////// .</t>
  </si>
  <si>
    <t>KFM2020660172463</t>
  </si>
  <si>
    <t xml:space="preserve">   مسجد      الجامع    بمصدة .</t>
  </si>
  <si>
    <t>KFM2020660212260</t>
  </si>
  <si>
    <t xml:space="preserve">     جامع  مسجد عين الصوينع .</t>
  </si>
  <si>
    <t>KFM2020660173225</t>
  </si>
  <si>
    <t xml:space="preserve">   مسجد/المنصور بالفيضه .</t>
  </si>
  <si>
    <t>KFM2120660241407</t>
  </si>
  <si>
    <t xml:space="preserve">   جامع      الرجع     القويعيه .</t>
  </si>
  <si>
    <t>SMR2220661017593</t>
  </si>
  <si>
    <t xml:space="preserve">   مسجد      عبدالله   622 مخطط .</t>
  </si>
  <si>
    <t>SMR2020850055553</t>
  </si>
  <si>
    <t xml:space="preserve">       مسجد الجامع بعريد5 .</t>
  </si>
  <si>
    <t>SMR2020850108034</t>
  </si>
  <si>
    <t xml:space="preserve">   مسجـــد   حميـــد   0 .</t>
  </si>
  <si>
    <t>KFM2020760082678</t>
  </si>
  <si>
    <t xml:space="preserve">   مسجد      .         المعمورة .</t>
  </si>
  <si>
    <t>LYE2020810014356</t>
  </si>
  <si>
    <t xml:space="preserve">   مسجد      الحاره    ///// .</t>
  </si>
  <si>
    <t>KFM2120660252029</t>
  </si>
  <si>
    <t>KFM2020766090311</t>
  </si>
  <si>
    <t xml:space="preserve">   مسجدوالده فهد صالح الشهيل .</t>
  </si>
  <si>
    <t>KFM2020766031616</t>
  </si>
  <si>
    <t xml:space="preserve">   مسجد      منيره     الرويس .</t>
  </si>
  <si>
    <t>KFM2020660210720</t>
  </si>
  <si>
    <t xml:space="preserve">   مسجد/حي الزهور بالقرين .</t>
  </si>
  <si>
    <t>ECC2020811054245</t>
  </si>
  <si>
    <t xml:space="preserve">      مسجد الابرقيه بالسر .</t>
  </si>
  <si>
    <t>KFM2020760210408</t>
  </si>
  <si>
    <t xml:space="preserve">   جامع/ شراف .</t>
  </si>
  <si>
    <t>KFM2020766090312</t>
  </si>
  <si>
    <t xml:space="preserve">   جامع / المغزل .</t>
  </si>
  <si>
    <t>KFM2120660248773</t>
  </si>
  <si>
    <t xml:space="preserve">   الجامع القديم .</t>
  </si>
  <si>
    <t>KFM2020660212316</t>
  </si>
  <si>
    <t>KFM2020660199736</t>
  </si>
  <si>
    <t xml:space="preserve">   جامع الايمان .</t>
  </si>
  <si>
    <t>KFM2020660204405</t>
  </si>
  <si>
    <t>SMR2220661006449</t>
  </si>
  <si>
    <t xml:space="preserve">       مسجد شمال الامار5 .</t>
  </si>
  <si>
    <t>KFM2020660224601</t>
  </si>
  <si>
    <t xml:space="preserve">   مسجدأبوبكرالصديق .</t>
  </si>
  <si>
    <t>KFM2020766090281</t>
  </si>
  <si>
    <t xml:space="preserve">   المسجد    الشمالي   بالشعراء .</t>
  </si>
  <si>
    <t>SMR2020850082192</t>
  </si>
  <si>
    <t xml:space="preserve">   جامع ابوبكرالصديق البويق الرين .</t>
  </si>
  <si>
    <t>KFM2120660264012</t>
  </si>
  <si>
    <t xml:space="preserve">    مـسـجـد الريان (اوقاف المزاحميه) .</t>
  </si>
  <si>
    <t>SMR2320761030536</t>
  </si>
  <si>
    <t xml:space="preserve">   مسجد/حسين عبدالله الاسعدي .</t>
  </si>
  <si>
    <t>KFM2020660123162</t>
  </si>
  <si>
    <t xml:space="preserve">      مسجد الهويدى بالدخل المحدود .</t>
  </si>
  <si>
    <t>KFM2020660209367</t>
  </si>
  <si>
    <t>المزاحمية</t>
  </si>
  <si>
    <t xml:space="preserve">     اوقاف المزاحميه/جامع حلاة الجله .</t>
  </si>
  <si>
    <t>KFM2020660209326</t>
  </si>
  <si>
    <t xml:space="preserve">   مسجد الفرقان .</t>
  </si>
  <si>
    <t>KFM2020660204216</t>
  </si>
  <si>
    <t>ﻭﺯﺍﺭﺓﺍﻻﻭﻗﺎﻑ ـ ﺍﻭﻗﺎﻑ ﺴﺎﺠﺭ .</t>
  </si>
  <si>
    <t>KFM2020766085363</t>
  </si>
  <si>
    <t xml:space="preserve">   مسجد      زبن       الرويس .</t>
  </si>
  <si>
    <t>LYE2020810012011</t>
  </si>
  <si>
    <t xml:space="preserve">   مسجد الا مير سلطان بن عبد العزيز0 .</t>
  </si>
  <si>
    <t>KFM2020660192378</t>
  </si>
  <si>
    <t>عفيف</t>
  </si>
  <si>
    <t>KFM2020660176323</t>
  </si>
  <si>
    <t xml:space="preserve">   المسجد    الجامع    بالفيحاء .</t>
  </si>
  <si>
    <t>KFM2020660195908</t>
  </si>
  <si>
    <t xml:space="preserve">   مسجد/ذعار مطلق المرشدي ( 412)  0 .</t>
  </si>
  <si>
    <t>KFM2020660199678</t>
  </si>
  <si>
    <t xml:space="preserve">   مسجد جامع دباس  (دباس دايغ العتي .</t>
  </si>
  <si>
    <t>KFM2020660233525</t>
  </si>
  <si>
    <t xml:space="preserve">   مسجد/الأساعده .</t>
  </si>
  <si>
    <t>KFM2020660202855</t>
  </si>
  <si>
    <t xml:space="preserve">   مسجد الناصريه/وزاره الا وقاف والم .</t>
  </si>
  <si>
    <t>KFM2020760189043</t>
  </si>
  <si>
    <t xml:space="preserve">    المسجد القديم بالفيضه .</t>
  </si>
  <si>
    <t>KFM2020660204369</t>
  </si>
  <si>
    <t>SMR2420861005317</t>
  </si>
  <si>
    <t xml:space="preserve">    مسجد جامع العماير  بجو .</t>
  </si>
  <si>
    <t>KFM2020660191515</t>
  </si>
  <si>
    <t xml:space="preserve">    جــامـع الناصفه(اوقاف القويعيه) .</t>
  </si>
  <si>
    <t>KFM2020766163511</t>
  </si>
  <si>
    <t>مسجد رياض الصالحين .</t>
  </si>
  <si>
    <t>SMR2020850049511</t>
  </si>
  <si>
    <t xml:space="preserve">   مسجد/غرب ساجر /محمد شويفين .</t>
  </si>
  <si>
    <t>KFM2020766090287</t>
  </si>
  <si>
    <t xml:space="preserve">   مسجد/     الحج      بأبوركب .</t>
  </si>
  <si>
    <t>KFM2020766102101</t>
  </si>
  <si>
    <t xml:space="preserve">   مسجد      المنصور   0 .</t>
  </si>
  <si>
    <t>KFM2020760082651</t>
  </si>
  <si>
    <t xml:space="preserve">   جامع      الرويضه   القديم .</t>
  </si>
  <si>
    <t>KFM2020660171216</t>
  </si>
  <si>
    <t>KFM2020660189674</t>
  </si>
  <si>
    <t>KFM2020660189758</t>
  </si>
  <si>
    <t xml:space="preserve">      مسجد الرفيعه بالسر .</t>
  </si>
  <si>
    <t>KFM2020660204489</t>
  </si>
  <si>
    <t xml:space="preserve">   مسجد/نهضة الشريف    الاوقاف .</t>
  </si>
  <si>
    <t>SMR2320661022550</t>
  </si>
  <si>
    <t xml:space="preserve">       المسجد الجامع .</t>
  </si>
  <si>
    <t>KFM2020660171166</t>
  </si>
  <si>
    <t>ﻭﺯﺍﺭﺓﺍﻷﻭﻗﺎﻑ _ ﺍﻭﻗﺎﻑ ﺍﻟﺭﻭﻴﻀﻩ .</t>
  </si>
  <si>
    <t>KFM2120660265066</t>
  </si>
  <si>
    <t xml:space="preserve">    مسجد/متعب تركىمحيا .</t>
  </si>
  <si>
    <t>KFM2020766090119</t>
  </si>
  <si>
    <t xml:space="preserve">   جامع/ام رغل .</t>
  </si>
  <si>
    <t>KFM2120660265078</t>
  </si>
  <si>
    <t xml:space="preserve">   اوقاف القويعيه/جامع الرين القديم .</t>
  </si>
  <si>
    <t>SMR2320661020690</t>
  </si>
  <si>
    <t xml:space="preserve">   اوقاف المزاحميه/جامع حزام بن عمر .</t>
  </si>
  <si>
    <t>KFM2020660177266</t>
  </si>
  <si>
    <t xml:space="preserve">   مسجد/ ضيف الله سعود العتيبي .</t>
  </si>
  <si>
    <t>KFM2020766096059</t>
  </si>
  <si>
    <t xml:space="preserve">   مسجد الرويضه بالفيضه .</t>
  </si>
  <si>
    <t>KFM2020760209277</t>
  </si>
  <si>
    <t>KFM2020660199779</t>
  </si>
  <si>
    <t xml:space="preserve">   مسجد  المسلط  نوارة .</t>
  </si>
  <si>
    <t>KFM2020660206782</t>
  </si>
  <si>
    <t>ECC2320831055029</t>
  </si>
  <si>
    <t xml:space="preserve">   مسجد جامع بدائع العضيان الغربي 0 .</t>
  </si>
  <si>
    <t>KFM2020766085486</t>
  </si>
  <si>
    <t xml:space="preserve">   مسجد      ابوزيد    ابوزيد .</t>
  </si>
  <si>
    <t>KFM2020660204182</t>
  </si>
  <si>
    <t>ﺍﻭﻗﺎﻑ ﻭﻤﺴﺎﺠﺩ ﺍﻟﺭﻴﻥ .</t>
  </si>
  <si>
    <t>SMR2020850099556</t>
  </si>
  <si>
    <t>KFM2120660293952</t>
  </si>
  <si>
    <t>ﻭﺯﺍﺭﺓﺍﻻﻭﻗﺎﻑ ـ ﺍﻭﻗﺎﻑ ﻋﻓﻴﻑ .</t>
  </si>
  <si>
    <t>KFM2020660188240</t>
  </si>
  <si>
    <t xml:space="preserve">   جامع      الرفايع   . .</t>
  </si>
  <si>
    <t>KFM2120660241365</t>
  </si>
  <si>
    <t>ﻭﺯﺍﺭﺓﺍﻻﻭﻗﺎﻑ _ ﺍﻭﻗﺎﻑ ﺍﻟﺒﺠﺎﺩﻴﻩ .</t>
  </si>
  <si>
    <t>KFM2020660223746</t>
  </si>
  <si>
    <t>KFM2020760058665</t>
  </si>
  <si>
    <t>ECC2020811047439</t>
  </si>
  <si>
    <t xml:space="preserve">   مسجد/     حي الماضي //// .</t>
  </si>
  <si>
    <t>KFM2020766106774</t>
  </si>
  <si>
    <t xml:space="preserve">     اوقاف المزاحميه / جامع قنيفذاء .</t>
  </si>
  <si>
    <t>KFM2020660177285</t>
  </si>
  <si>
    <t xml:space="preserve">      مسجد هويدى .</t>
  </si>
  <si>
    <t>KFM2020760136568</t>
  </si>
  <si>
    <t>وقاف ومساجد ضرماء .</t>
  </si>
  <si>
    <t>KFM2120660280840</t>
  </si>
  <si>
    <t xml:space="preserve">   جامع الحجر بالفيضه .</t>
  </si>
  <si>
    <t>KFM2020660204368</t>
  </si>
  <si>
    <t>MMF2020800111745</t>
  </si>
  <si>
    <t>SMR2420868005100</t>
  </si>
  <si>
    <t xml:space="preserve">   جامع      الرفايع   ////////// .</t>
  </si>
  <si>
    <t>KFM2020660172831</t>
  </si>
  <si>
    <t xml:space="preserve">   مسجد بدر شبيب المطيرى .</t>
  </si>
  <si>
    <t>KFM2020660233602</t>
  </si>
  <si>
    <t xml:space="preserve">   جامع هجرة/منيفة .</t>
  </si>
  <si>
    <t>KFM2120660252050</t>
  </si>
  <si>
    <t xml:space="preserve">   اوقاف     القويعيه  القويعية .</t>
  </si>
  <si>
    <t>KFM2020660190670</t>
  </si>
  <si>
    <t xml:space="preserve">   مسجد سوق الغنم والا علا ف .</t>
  </si>
  <si>
    <t>SMR2020850105627</t>
  </si>
  <si>
    <t xml:space="preserve">      مسجد رفايع الشعراء .</t>
  </si>
  <si>
    <t>SMR2020850119049</t>
  </si>
  <si>
    <t>KFM2120861247407</t>
  </si>
  <si>
    <t>KFM2020660204189</t>
  </si>
  <si>
    <t xml:space="preserve">   مسجد      حمد       وسيله 2 .</t>
  </si>
  <si>
    <t>KFM2020766065324</t>
  </si>
  <si>
    <t xml:space="preserve">   مسجد      عسكرةبنت  حي نوارة .</t>
  </si>
  <si>
    <t>KFM2020660225595</t>
  </si>
  <si>
    <t xml:space="preserve">   مسجد      جامع      طحي .</t>
  </si>
  <si>
    <t>KFM2020660192436</t>
  </si>
  <si>
    <t>KFM2120660267416</t>
  </si>
  <si>
    <t xml:space="preserve">   اوقاف المزاحميه/جامع سلطانه .</t>
  </si>
  <si>
    <t>KFM2020660200302</t>
  </si>
  <si>
    <t xml:space="preserve">   مسجد عشيران .</t>
  </si>
  <si>
    <t>KFM2020660204288</t>
  </si>
  <si>
    <t xml:space="preserve">   مسجد/محمدعبدالمحسن الحنتوشي .</t>
  </si>
  <si>
    <t>ECC2020811086123</t>
  </si>
  <si>
    <t>وقاف ومساجد الامزاحميه .</t>
  </si>
  <si>
    <t>KFM2020660228266</t>
  </si>
  <si>
    <t xml:space="preserve">   مسجد الراجحي الشارع العام  عفيف .</t>
  </si>
  <si>
    <t>KFM2120660265028</t>
  </si>
  <si>
    <t xml:space="preserve">      جامع الجفونيه .</t>
  </si>
  <si>
    <t>KFM2120660240466</t>
  </si>
  <si>
    <t>KFM2020660204076</t>
  </si>
  <si>
    <t>وقاف ومساجد الرين .</t>
  </si>
  <si>
    <t>LYE2020810262772</t>
  </si>
  <si>
    <t>مسجد عبدالرحمن مطلق الرويس .</t>
  </si>
  <si>
    <t>KFM2020760051355</t>
  </si>
  <si>
    <t>KFM2020660126671</t>
  </si>
  <si>
    <t xml:space="preserve">   المسجد    الجامع    بوادي عصيل .</t>
  </si>
  <si>
    <t>KFM2020660192488</t>
  </si>
  <si>
    <t>KFM2120660241035</t>
  </si>
  <si>
    <t>KFM2020760145863</t>
  </si>
  <si>
    <t xml:space="preserve">   جامع      الصاهد    سعد ماضي .</t>
  </si>
  <si>
    <t>KFM2020660204103</t>
  </si>
  <si>
    <t xml:space="preserve">   جامع      الشواة .</t>
  </si>
  <si>
    <t>KFM2020760227481</t>
  </si>
  <si>
    <t xml:space="preserve">      مسجد الامير نايف .</t>
  </si>
  <si>
    <t>KFM2020660189676</t>
  </si>
  <si>
    <t xml:space="preserve">   مسجد جامع الشيخ عبدالله .</t>
  </si>
  <si>
    <t>KFM2020660225539</t>
  </si>
  <si>
    <t xml:space="preserve">   مسجد      محيميد    النخيش .</t>
  </si>
  <si>
    <t>KFM2120660238372</t>
  </si>
  <si>
    <t>SMR2220761016781</t>
  </si>
  <si>
    <t>KFM2020660206787</t>
  </si>
  <si>
    <t xml:space="preserve">   مســــجد جــامع الرمثـــي .</t>
  </si>
  <si>
    <t>KFM2020660233603</t>
  </si>
  <si>
    <t>SMR2220761015247</t>
  </si>
  <si>
    <t>جامع      سعود      الزياد .</t>
  </si>
  <si>
    <t>KFM2020660203705</t>
  </si>
  <si>
    <t xml:space="preserve">       جامع السكران الجديد .</t>
  </si>
  <si>
    <t>KFM2020660153693</t>
  </si>
  <si>
    <t xml:space="preserve">                مسجد      النايف .</t>
  </si>
  <si>
    <t>KFM2020660223814</t>
  </si>
  <si>
    <t xml:space="preserve">   المسجد  الشمالي الشرقي .</t>
  </si>
  <si>
    <t>KFM2020660126622</t>
  </si>
  <si>
    <t xml:space="preserve">   مسجد أل يرموك الصناعية .</t>
  </si>
  <si>
    <t>KFM2020660191475</t>
  </si>
  <si>
    <t>KFM2020660204211</t>
  </si>
  <si>
    <t xml:space="preserve">   مسجد/ مـخـطط   بالدوادمي .</t>
  </si>
  <si>
    <t>SMR2020850028702</t>
  </si>
  <si>
    <t>KFM2020766102018</t>
  </si>
  <si>
    <t xml:space="preserve">   اوقاف الرويضه  مسجدالسرداح .</t>
  </si>
  <si>
    <t>KFM2020766039351</t>
  </si>
  <si>
    <t>مسجد ال وهطان بالفويلق .</t>
  </si>
  <si>
    <t>KFM2120660240350</t>
  </si>
  <si>
    <t xml:space="preserve">   جامع      السيحاني  //////////// .</t>
  </si>
  <si>
    <t>KFM2020660204112</t>
  </si>
  <si>
    <t xml:space="preserve">   مسجد      منير      العصيمي .</t>
  </si>
  <si>
    <t>MMF2020800077737</t>
  </si>
  <si>
    <t xml:space="preserve">   مسجد      الحميضي   //////////// .</t>
  </si>
  <si>
    <t>KFM2020660153743</t>
  </si>
  <si>
    <t xml:space="preserve">   اوقاف     القويعيه  1 .</t>
  </si>
  <si>
    <t>KFM2020660190602</t>
  </si>
  <si>
    <t xml:space="preserve">   جامع المنح الصريحة .</t>
  </si>
  <si>
    <t>KFM2020660177173</t>
  </si>
  <si>
    <t xml:space="preserve">   اوقاف القويعيه/ جامع الفويلق .</t>
  </si>
  <si>
    <t>KFM2020660209965</t>
  </si>
  <si>
    <t>مسجد فراج العصيمي بالدوادمي .</t>
  </si>
  <si>
    <t>ECC2020811058835</t>
  </si>
  <si>
    <t xml:space="preserve">      مسجد الصقيران .</t>
  </si>
  <si>
    <t>KFM2020660155931</t>
  </si>
  <si>
    <t xml:space="preserve">   مسجد / ال حميدان بصبحاء .</t>
  </si>
  <si>
    <t>KFM2020766077173</t>
  </si>
  <si>
    <t xml:space="preserve">      مسجد الحار5 الشماليه بمصد5 .</t>
  </si>
  <si>
    <t>KFM2020760058333</t>
  </si>
  <si>
    <t xml:space="preserve">   مسجد      النداح    //////// .</t>
  </si>
  <si>
    <t>KFM2020760082761</t>
  </si>
  <si>
    <t xml:space="preserve">   مسجد /     دغيثر    بن سعد .</t>
  </si>
  <si>
    <t>KFM2020660204134</t>
  </si>
  <si>
    <t xml:space="preserve">      مسجد جزاء بن على .</t>
  </si>
  <si>
    <t>MMF2020800247536</t>
  </si>
  <si>
    <t xml:space="preserve">   مسجد  جامع  المجهولية ك 20     0 .</t>
  </si>
  <si>
    <t>KFM2020660171065</t>
  </si>
  <si>
    <t xml:space="preserve">      مسجدالآمام فيصل بن تركي .</t>
  </si>
  <si>
    <t>KFM2020660191496</t>
  </si>
  <si>
    <t>KFM2020660203707</t>
  </si>
  <si>
    <t xml:space="preserve">   اوقاف     القويعيه  الملك فيصل .</t>
  </si>
  <si>
    <t>KFM2020660208179</t>
  </si>
  <si>
    <t>KFM2020660200045</t>
  </si>
  <si>
    <t xml:space="preserve">   المسجدالجامع/جفين سعدالمشعلى .</t>
  </si>
  <si>
    <t>KFM2020660233275</t>
  </si>
  <si>
    <t>ECC2020810688141</t>
  </si>
  <si>
    <t xml:space="preserve">   مصلىالعيدبالبرود .</t>
  </si>
  <si>
    <t>KFM2020766085501</t>
  </si>
  <si>
    <t>KFM2020760203347</t>
  </si>
  <si>
    <t xml:space="preserve">   وزارة الحج والاوقاف - مسجد العزيز .</t>
  </si>
  <si>
    <t>KFM2020660191428</t>
  </si>
  <si>
    <t>مسجد      منيرة     بنوارة .</t>
  </si>
  <si>
    <t>KFM2020660177279</t>
  </si>
  <si>
    <t xml:space="preserve">   مسجد ال طرجم بالفويسة .</t>
  </si>
  <si>
    <t>LYE2020830242100</t>
  </si>
  <si>
    <t>KFM2020766167842</t>
  </si>
  <si>
    <t xml:space="preserve">  اوقاف القويعية مسجدالبيان بالصاخن .</t>
  </si>
  <si>
    <t>AEC2020830327783</t>
  </si>
  <si>
    <t>MMF2420801338773</t>
  </si>
  <si>
    <t>SMR2320661034418</t>
  </si>
  <si>
    <t xml:space="preserve">   جامع      ام سليم   بحلبان .</t>
  </si>
  <si>
    <t>KFM2120660238312</t>
  </si>
  <si>
    <t xml:space="preserve">      مسجد على شجاع .</t>
  </si>
  <si>
    <t>KFM2020660233503</t>
  </si>
  <si>
    <t xml:space="preserve">   مسجد      المبارك   0 .</t>
  </si>
  <si>
    <t>ECC2020810706616</t>
  </si>
  <si>
    <t xml:space="preserve">      مسجد هذال .</t>
  </si>
  <si>
    <t>MMF2020800247562</t>
  </si>
  <si>
    <t>مسجد      ابراهيم   التمامي .</t>
  </si>
  <si>
    <t>KFM2020660209322</t>
  </si>
  <si>
    <t>LYE2020810396313</t>
  </si>
  <si>
    <t xml:space="preserve">   مسجد بحي السليمانيةغرب 476 ق 68 .</t>
  </si>
  <si>
    <t>KFM2020660212189</t>
  </si>
  <si>
    <t xml:space="preserve">   جامع      جلالة      بسنام .</t>
  </si>
  <si>
    <t>KFM2020660199297</t>
  </si>
  <si>
    <t xml:space="preserve">    مسجد البواردي .</t>
  </si>
  <si>
    <t>KFM2020660202827</t>
  </si>
  <si>
    <t xml:space="preserve">   اوقاف القويعيه/مسجد الصناعية .</t>
  </si>
  <si>
    <t>KFM2020660190643</t>
  </si>
  <si>
    <t xml:space="preserve">   مسجد/ حمد مترك العتيبي .</t>
  </si>
  <si>
    <t>KFM2020660204322</t>
  </si>
  <si>
    <t xml:space="preserve">   مسجد      العازميه  بالجمش .</t>
  </si>
  <si>
    <t>MMF2420801296687</t>
  </si>
  <si>
    <t xml:space="preserve">   مسجد الهرجابيه ـ اوقاف القويعيه .</t>
  </si>
  <si>
    <t>SMR2220661006298</t>
  </si>
  <si>
    <t xml:space="preserve">   مسجد      ناصر      القريني .</t>
  </si>
  <si>
    <t>KFM2120660257046</t>
  </si>
  <si>
    <t xml:space="preserve">   جامع/ جفن الجديد .</t>
  </si>
  <si>
    <t>KFM2020660153754</t>
  </si>
  <si>
    <t>KFM2020760082710</t>
  </si>
  <si>
    <t xml:space="preserve">   مسجد / سعود عبدالرحمن الجبرين .</t>
  </si>
  <si>
    <t>KFM2020660177166</t>
  </si>
  <si>
    <t xml:space="preserve">   جامع سويلمفي        حلبان .</t>
  </si>
  <si>
    <t>KFM2120660241366</t>
  </si>
  <si>
    <t xml:space="preserve">       مسجد الحى الجنوبى بالمطط الجد .</t>
  </si>
  <si>
    <t>KFM2020760058295</t>
  </si>
  <si>
    <t xml:space="preserve">   اوقاف القويعيه .</t>
  </si>
  <si>
    <t>SMR2020765003981</t>
  </si>
  <si>
    <t xml:space="preserve">   اوقاف القويعيه /مسجدالشفا .</t>
  </si>
  <si>
    <t>KFM2020660229501</t>
  </si>
  <si>
    <t>SMR2220661004077</t>
  </si>
  <si>
    <t xml:space="preserve">   مسجد عفريه - اوقاف المزاحميه .</t>
  </si>
  <si>
    <t>KFM2020766066292</t>
  </si>
  <si>
    <t xml:space="preserve">   مسجد مخطط العبدالعزيز .</t>
  </si>
  <si>
    <t>KFM2020660191469</t>
  </si>
  <si>
    <t xml:space="preserve">   جامع      فرعة      عصيل .</t>
  </si>
  <si>
    <t>KFM2120660303187</t>
  </si>
  <si>
    <t xml:space="preserve">   اوقاف القويعيةمقابل سوق الهويمل .</t>
  </si>
  <si>
    <t>KFM2120660240435</t>
  </si>
  <si>
    <t xml:space="preserve">     مسجد/السبقان .</t>
  </si>
  <si>
    <t>KFM2020766090113</t>
  </si>
  <si>
    <t xml:space="preserve">   مسجد/شرق الاسفلت في ارطاوي الرقاص .</t>
  </si>
  <si>
    <t>KFM2020766077764</t>
  </si>
  <si>
    <t xml:space="preserve">   مسجد      طلحه      عبيد الله .</t>
  </si>
  <si>
    <t>KFM2020660172380</t>
  </si>
  <si>
    <t>KFM2020760208815</t>
  </si>
  <si>
    <t xml:space="preserve">   مسجد      عزام      بندر .</t>
  </si>
  <si>
    <t>ECC2020810934409</t>
  </si>
  <si>
    <t xml:space="preserve">   مسجدلجع .</t>
  </si>
  <si>
    <t>KFM2020660196364</t>
  </si>
  <si>
    <t xml:space="preserve"> اوقاف القويعيه/جامع الخنيقيه العليا .</t>
  </si>
  <si>
    <t>KFM2020766148249</t>
  </si>
  <si>
    <t>KFM2020860519985</t>
  </si>
  <si>
    <t>KFM2020860058614</t>
  </si>
  <si>
    <t xml:space="preserve">      مسجد محطه الدريبى .</t>
  </si>
  <si>
    <t>KFM2020760058344</t>
  </si>
  <si>
    <t xml:space="preserve">   مسجد الرفيعه الجديد بالمخطط .</t>
  </si>
  <si>
    <t>KFM2020766077187</t>
  </si>
  <si>
    <t xml:space="preserve">   مسجد      ابن باز   نساح .</t>
  </si>
  <si>
    <t>KFM2020766162268</t>
  </si>
  <si>
    <t xml:space="preserve">   مسجد      ابوشيح    حى ابوشيح .</t>
  </si>
  <si>
    <t>KFM2020766162189</t>
  </si>
  <si>
    <t xml:space="preserve">    مسجد الباحوث .</t>
  </si>
  <si>
    <t>KFM2020660171087</t>
  </si>
  <si>
    <t xml:space="preserve">   مسجد / عبدالله بن  مسعود       0 .</t>
  </si>
  <si>
    <t>KFM2020766100162</t>
  </si>
  <si>
    <t xml:space="preserve">   مسجد      التوحيد   العين .</t>
  </si>
  <si>
    <t>KFM2020766149446</t>
  </si>
  <si>
    <t xml:space="preserve">   مسجد/فهد  سيبان     الغويري .</t>
  </si>
  <si>
    <t>ECC2020811070490</t>
  </si>
  <si>
    <t xml:space="preserve">   مسجد      آل سياف   بلجعه .</t>
  </si>
  <si>
    <t>KFM2020660199370</t>
  </si>
  <si>
    <t xml:space="preserve">    مسجد/الجديدة .</t>
  </si>
  <si>
    <t>KFM2020766086273</t>
  </si>
  <si>
    <t xml:space="preserve">   مسجد عبدالله بن حمد .</t>
  </si>
  <si>
    <t>KFM2020660190690</t>
  </si>
  <si>
    <t xml:space="preserve">      جامع مزعل .</t>
  </si>
  <si>
    <t>KFM2020766107121</t>
  </si>
  <si>
    <t xml:space="preserve">   مسجدالشارعالعام     بنفي .</t>
  </si>
  <si>
    <t>SMR2420761040562</t>
  </si>
  <si>
    <t>SMR2020850038827</t>
  </si>
  <si>
    <t xml:space="preserve">   جامع      مزعل      مزعل .</t>
  </si>
  <si>
    <t>KFM2020660234251</t>
  </si>
  <si>
    <t xml:space="preserve">         مسجد/الخالدية .</t>
  </si>
  <si>
    <t>KFM2020760145133</t>
  </si>
  <si>
    <t>انارة بلدية .</t>
  </si>
  <si>
    <t>LYE2020810584369</t>
  </si>
  <si>
    <t>ECC2420841079718</t>
  </si>
  <si>
    <t xml:space="preserve">   مسجد عبدالعزيز الناهض .</t>
  </si>
  <si>
    <t>KFM2020760058638</t>
  </si>
  <si>
    <t xml:space="preserve">   مسجد      الا برار   بعروى .</t>
  </si>
  <si>
    <t>KFM2020660199291</t>
  </si>
  <si>
    <t xml:space="preserve">   مسجد عريفجان .</t>
  </si>
  <si>
    <t>MMF2420801307523</t>
  </si>
  <si>
    <t xml:space="preserve">   مسجد      مرزوق     بنواره .</t>
  </si>
  <si>
    <t>KFM2020660206834</t>
  </si>
  <si>
    <t xml:space="preserve">   مسجد/ ذوي بجاد .</t>
  </si>
  <si>
    <t>AEC2020830316517</t>
  </si>
  <si>
    <t xml:space="preserve">      مـسـجـد عبدالله سعد الزمامى .</t>
  </si>
  <si>
    <t>AEC2020830524735</t>
  </si>
  <si>
    <t xml:space="preserve">   اوقاف القويعيه / مسجدمحمدالهويمل .</t>
  </si>
  <si>
    <t>AEC2020830325385</t>
  </si>
  <si>
    <t>AEC2020830249967</t>
  </si>
  <si>
    <t xml:space="preserve">   جامع / أبن عثيمين .</t>
  </si>
  <si>
    <t>KFM2020760135961</t>
  </si>
  <si>
    <t>AEC2020720014772</t>
  </si>
  <si>
    <t>SMR2220661006664</t>
  </si>
  <si>
    <t xml:space="preserve">   مسجد الحج والأوقاف .</t>
  </si>
  <si>
    <t>AEC2020830314012</t>
  </si>
  <si>
    <t xml:space="preserve">   مسجد / برزان .</t>
  </si>
  <si>
    <t>AEC2020830312149</t>
  </si>
  <si>
    <t>AEC2020830564390</t>
  </si>
  <si>
    <t xml:space="preserve">   جامع الصدر الاعلى .</t>
  </si>
  <si>
    <t>AEC2020830569502</t>
  </si>
  <si>
    <t xml:space="preserve">   اوقاف القويعيه/جامع زعيفان بصماخ .</t>
  </si>
  <si>
    <t>AEC2020830574166</t>
  </si>
  <si>
    <t>KFM2120660267432</t>
  </si>
  <si>
    <t xml:space="preserve">   مسجد/ الحي الشمالي بالمستجده .</t>
  </si>
  <si>
    <t>AEC2020830293597</t>
  </si>
  <si>
    <t xml:space="preserve">   مسجدعبدالرحمن الشنيفي حي الاوبيرق .</t>
  </si>
  <si>
    <t>KFM2020660158808</t>
  </si>
  <si>
    <t xml:space="preserve">   اوقاف المزاحميه .</t>
  </si>
  <si>
    <t>KFM2020766155502</t>
  </si>
  <si>
    <t xml:space="preserve">      مـسـجـد سعد الشنيفى .</t>
  </si>
  <si>
    <t>MMF2020801021626</t>
  </si>
  <si>
    <t xml:space="preserve">   اوقاف الرين/جامع قبيبان .</t>
  </si>
  <si>
    <t>KFM2020660196380</t>
  </si>
  <si>
    <t xml:space="preserve">   مسجد/الانصار .</t>
  </si>
  <si>
    <t>KFM2020660204406</t>
  </si>
  <si>
    <t xml:space="preserve">   مسجد      فيضة      //////////// .</t>
  </si>
  <si>
    <t>KFM2120660238351</t>
  </si>
  <si>
    <t xml:space="preserve">   مسجد/زايد زيدان مزيدالمطيري .</t>
  </si>
  <si>
    <t>AEC2020830304787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</si>
</sst>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0"/>
  <sheetViews>
    <sheetView workbookViewId="0">
      <selection activeCell="D21" sqref="D21"/>
    </sheetView>
  </sheetViews>
  <sheetFormatPr defaultRowHeight="14.4" x14ac:dyDescent="0.3"/>
  <cols>
    <col min="1" max="1" width="44" customWidth="1"/>
    <col min="2" max="2" width="18" customWidth="1"/>
    <col min="3" max="3" width="10" customWidth="1"/>
    <col min="4" max="4" width="20" customWidth="1"/>
    <col min="5" max="5" width="24" customWidth="1"/>
    <col min="6" max="6" width="13" customWidth="1"/>
    <col min="7" max="7" width="1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60257</v>
      </c>
      <c r="F2" t="b">
        <v>1</v>
      </c>
      <c r="G2" t="str">
        <f>HYPERLINK("https://www.google.com/maps/search/?api=1&amp;query=24.71878225,46.7552068", "View Map")</f>
        <v>View Map</v>
      </c>
    </row>
    <row r="3" spans="1:7" x14ac:dyDescent="0.3">
      <c r="A3" t="s">
        <v>11</v>
      </c>
      <c r="B3" t="s">
        <v>12</v>
      </c>
      <c r="C3" t="s">
        <v>9</v>
      </c>
      <c r="D3" t="s">
        <v>10</v>
      </c>
      <c r="E3">
        <v>58107</v>
      </c>
      <c r="F3" t="b">
        <v>1</v>
      </c>
      <c r="G3" t="str">
        <f>HYPERLINK("https://www.google.com/maps/search/?api=1&amp;query=24.6290373,46.70857805", "View Map")</f>
        <v>View Map</v>
      </c>
    </row>
    <row r="4" spans="1:7" x14ac:dyDescent="0.3">
      <c r="A4" t="s">
        <v>13</v>
      </c>
      <c r="B4" t="s">
        <v>14</v>
      </c>
      <c r="C4" t="s">
        <v>9</v>
      </c>
      <c r="D4" t="s">
        <v>10</v>
      </c>
      <c r="E4">
        <v>22926</v>
      </c>
      <c r="F4" t="b">
        <v>1</v>
      </c>
      <c r="G4" t="str">
        <f>HYPERLINK("https://www.google.com/maps/search/?api=1&amp;query=24.674339,46.7816788", "View Map")</f>
        <v>View Map</v>
      </c>
    </row>
    <row r="5" spans="1:7" x14ac:dyDescent="0.3">
      <c r="A5" t="s">
        <v>15</v>
      </c>
      <c r="B5" t="s">
        <v>16</v>
      </c>
      <c r="C5" t="s">
        <v>9</v>
      </c>
      <c r="D5" t="s">
        <v>10</v>
      </c>
      <c r="E5">
        <v>14551</v>
      </c>
      <c r="F5" t="b">
        <v>1</v>
      </c>
      <c r="G5" t="str">
        <f>HYPERLINK("https://www.google.com/maps/search/?api=1&amp;query=24.62872277,46.71230113", "View Map")</f>
        <v>View Map</v>
      </c>
    </row>
    <row r="6" spans="1:7" x14ac:dyDescent="0.3">
      <c r="A6" t="s">
        <v>17</v>
      </c>
      <c r="B6" t="s">
        <v>18</v>
      </c>
      <c r="C6" t="s">
        <v>9</v>
      </c>
      <c r="D6" t="s">
        <v>10</v>
      </c>
      <c r="E6">
        <v>12229</v>
      </c>
      <c r="F6" t="b">
        <v>1</v>
      </c>
      <c r="G6" t="str">
        <f>HYPERLINK("https://www.google.com/maps/search/?api=1&amp;query=24.70051282,46.65273349", "View Map")</f>
        <v>View Map</v>
      </c>
    </row>
    <row r="7" spans="1:7" x14ac:dyDescent="0.3">
      <c r="A7" t="s">
        <v>19</v>
      </c>
      <c r="B7" t="s">
        <v>20</v>
      </c>
      <c r="C7" t="s">
        <v>9</v>
      </c>
      <c r="D7" t="s">
        <v>10</v>
      </c>
      <c r="E7">
        <v>11703</v>
      </c>
      <c r="F7" t="b">
        <v>1</v>
      </c>
      <c r="G7" t="str">
        <f>HYPERLINK("https://www.google.com/maps/search/?api=1&amp;query=24.7196813,46.65872229", "View Map")</f>
        <v>View Map</v>
      </c>
    </row>
    <row r="8" spans="1:7" x14ac:dyDescent="0.3">
      <c r="A8" t="s">
        <v>21</v>
      </c>
      <c r="B8" t="s">
        <v>22</v>
      </c>
      <c r="C8" t="s">
        <v>9</v>
      </c>
      <c r="D8" t="s">
        <v>10</v>
      </c>
      <c r="E8">
        <v>8803</v>
      </c>
      <c r="F8" t="b">
        <v>1</v>
      </c>
      <c r="G8" t="str">
        <f>HYPERLINK("https://www.google.com/maps/search/?api=1&amp;query=24.80437452,46.61631235", "View Map")</f>
        <v>View Map</v>
      </c>
    </row>
    <row r="9" spans="1:7" x14ac:dyDescent="0.3">
      <c r="A9" t="s">
        <v>23</v>
      </c>
      <c r="B9" t="s">
        <v>24</v>
      </c>
      <c r="C9" t="s">
        <v>9</v>
      </c>
      <c r="D9" t="s">
        <v>10</v>
      </c>
      <c r="E9">
        <v>7945</v>
      </c>
      <c r="F9" t="b">
        <v>1</v>
      </c>
      <c r="G9" t="str">
        <f>HYPERLINK("https://www.google.com/maps/search/?api=1&amp;query=24.67053649,46.65803202", "View Map")</f>
        <v>View Map</v>
      </c>
    </row>
    <row r="10" spans="1:7" x14ac:dyDescent="0.3">
      <c r="A10" t="s">
        <v>19</v>
      </c>
      <c r="B10" t="s">
        <v>25</v>
      </c>
      <c r="C10" t="s">
        <v>9</v>
      </c>
      <c r="D10" t="s">
        <v>10</v>
      </c>
      <c r="E10">
        <v>6542</v>
      </c>
      <c r="F10" t="b">
        <v>1</v>
      </c>
      <c r="G10" t="str">
        <f>HYPERLINK("https://www.google.com/maps/search/?api=1&amp;query=24.75392709,46.61690089", "View Map")</f>
        <v>View Map</v>
      </c>
    </row>
    <row r="11" spans="1:7" x14ac:dyDescent="0.3">
      <c r="A11" t="s">
        <v>17</v>
      </c>
      <c r="B11" t="s">
        <v>26</v>
      </c>
      <c r="C11" t="s">
        <v>9</v>
      </c>
      <c r="D11" t="s">
        <v>10</v>
      </c>
      <c r="E11">
        <v>6477</v>
      </c>
      <c r="F11" t="b">
        <v>1</v>
      </c>
      <c r="G11" t="str">
        <f>HYPERLINK("https://www.google.com/maps/search/?api=1&amp;query=24.70051434,46.65273532", "View Map")</f>
        <v>View Map</v>
      </c>
    </row>
    <row r="12" spans="1:7" x14ac:dyDescent="0.3">
      <c r="A12" t="s">
        <v>27</v>
      </c>
      <c r="B12" t="s">
        <v>28</v>
      </c>
      <c r="C12" t="s">
        <v>9</v>
      </c>
      <c r="D12" t="s">
        <v>10</v>
      </c>
      <c r="E12">
        <v>6241</v>
      </c>
      <c r="F12" t="b">
        <v>1</v>
      </c>
      <c r="G12" t="str">
        <f>HYPERLINK("https://www.google.com/maps/search/?api=1&amp;query=24.64672947,46.5638687", "View Map")</f>
        <v>View Map</v>
      </c>
    </row>
    <row r="13" spans="1:7" x14ac:dyDescent="0.3">
      <c r="A13" t="s">
        <v>29</v>
      </c>
      <c r="B13" t="s">
        <v>30</v>
      </c>
      <c r="C13" t="s">
        <v>9</v>
      </c>
      <c r="D13" t="s">
        <v>10</v>
      </c>
      <c r="E13">
        <v>6154</v>
      </c>
      <c r="F13" t="b">
        <v>1</v>
      </c>
      <c r="G13" t="str">
        <f>HYPERLINK("https://www.google.com/maps/search/?api=1&amp;query=24.6076925,46.63268705", "View Map")</f>
        <v>View Map</v>
      </c>
    </row>
    <row r="14" spans="1:7" x14ac:dyDescent="0.3">
      <c r="A14" t="s">
        <v>31</v>
      </c>
      <c r="B14" t="s">
        <v>32</v>
      </c>
      <c r="C14" t="s">
        <v>9</v>
      </c>
      <c r="D14" t="s">
        <v>10</v>
      </c>
      <c r="E14">
        <v>6076</v>
      </c>
      <c r="F14" t="b">
        <v>1</v>
      </c>
      <c r="G14" t="str">
        <f>HYPERLINK("https://www.google.com/maps/search/?api=1&amp;query=24.67439423,46.87595957", "View Map")</f>
        <v>View Map</v>
      </c>
    </row>
    <row r="15" spans="1:7" x14ac:dyDescent="0.3">
      <c r="A15" t="s">
        <v>27</v>
      </c>
      <c r="B15" t="s">
        <v>33</v>
      </c>
      <c r="C15" t="s">
        <v>9</v>
      </c>
      <c r="D15" t="s">
        <v>10</v>
      </c>
      <c r="E15">
        <v>5767</v>
      </c>
      <c r="F15" t="b">
        <v>1</v>
      </c>
      <c r="G15" t="str">
        <f>HYPERLINK("https://www.google.com/maps/search/?api=1&amp;query=24.84761723,46.62807962", "View Map")</f>
        <v>View Map</v>
      </c>
    </row>
    <row r="16" spans="1:7" x14ac:dyDescent="0.3">
      <c r="A16" t="s">
        <v>34</v>
      </c>
      <c r="B16" t="s">
        <v>35</v>
      </c>
      <c r="C16" t="s">
        <v>9</v>
      </c>
      <c r="D16" t="s">
        <v>10</v>
      </c>
      <c r="E16">
        <v>5742</v>
      </c>
      <c r="F16" t="b">
        <v>1</v>
      </c>
      <c r="G16" t="str">
        <f>HYPERLINK("https://www.google.com/maps/search/?api=1&amp;query=24.7529,46.87116", "View Map")</f>
        <v>View Map</v>
      </c>
    </row>
    <row r="17" spans="1:7" x14ac:dyDescent="0.3">
      <c r="A17" t="s">
        <v>27</v>
      </c>
      <c r="B17" t="s">
        <v>36</v>
      </c>
      <c r="C17" t="s">
        <v>9</v>
      </c>
      <c r="D17" t="s">
        <v>10</v>
      </c>
      <c r="E17">
        <v>5522</v>
      </c>
      <c r="F17" t="b">
        <v>1</v>
      </c>
      <c r="G17" t="str">
        <f>HYPERLINK("https://www.google.com/maps/search/?api=1&amp;query=24.87769689,46.64635932", "View Map")</f>
        <v>View Map</v>
      </c>
    </row>
    <row r="18" spans="1:7" x14ac:dyDescent="0.3">
      <c r="A18" t="s">
        <v>27</v>
      </c>
      <c r="B18" t="s">
        <v>37</v>
      </c>
      <c r="C18" t="s">
        <v>9</v>
      </c>
      <c r="D18" t="s">
        <v>10</v>
      </c>
      <c r="E18">
        <v>5506</v>
      </c>
      <c r="F18" t="b">
        <v>1</v>
      </c>
      <c r="G18" t="str">
        <f>HYPERLINK("https://www.google.com/maps/search/?api=1&amp;query=24.68444607,46.58426799", "View Map")</f>
        <v>View Map</v>
      </c>
    </row>
    <row r="19" spans="1:7" x14ac:dyDescent="0.3">
      <c r="A19" t="s">
        <v>27</v>
      </c>
      <c r="B19" t="s">
        <v>38</v>
      </c>
      <c r="C19" t="s">
        <v>9</v>
      </c>
      <c r="D19" t="s">
        <v>10</v>
      </c>
      <c r="E19">
        <v>5370</v>
      </c>
      <c r="F19" t="b">
        <v>1</v>
      </c>
      <c r="G19" t="str">
        <f>HYPERLINK("https://www.google.com/maps/search/?api=1&amp;query=24.78495628,46.71657203", "View Map")</f>
        <v>View Map</v>
      </c>
    </row>
    <row r="20" spans="1:7" x14ac:dyDescent="0.3">
      <c r="A20" t="s">
        <v>39</v>
      </c>
      <c r="B20" t="s">
        <v>40</v>
      </c>
      <c r="C20" t="s">
        <v>9</v>
      </c>
      <c r="D20" t="s">
        <v>10</v>
      </c>
      <c r="E20">
        <v>5352</v>
      </c>
      <c r="F20" t="b">
        <v>1</v>
      </c>
      <c r="G20" t="str">
        <f>HYPERLINK("https://www.google.com/maps/search/?api=1&amp;query=24.63849898,46.66478357", "View Map")</f>
        <v>View Map</v>
      </c>
    </row>
    <row r="21" spans="1:7" x14ac:dyDescent="0.3">
      <c r="A21" t="s">
        <v>41</v>
      </c>
      <c r="B21" t="s">
        <v>42</v>
      </c>
      <c r="C21" t="s">
        <v>9</v>
      </c>
      <c r="D21" t="s">
        <v>10</v>
      </c>
      <c r="E21">
        <v>5349</v>
      </c>
      <c r="F21" t="b">
        <v>1</v>
      </c>
      <c r="G21" t="str">
        <f>HYPERLINK("https://www.google.com/maps/search/?api=1&amp;query=24.58819031,46.57208541", "View Map")</f>
        <v>View Map</v>
      </c>
    </row>
    <row r="22" spans="1:7" x14ac:dyDescent="0.3">
      <c r="A22" t="s">
        <v>43</v>
      </c>
      <c r="B22" t="s">
        <v>44</v>
      </c>
      <c r="C22" t="s">
        <v>9</v>
      </c>
      <c r="D22" t="s">
        <v>10</v>
      </c>
      <c r="E22">
        <v>5259</v>
      </c>
      <c r="F22" t="b">
        <v>1</v>
      </c>
      <c r="G22" t="str">
        <f>HYPERLINK("https://www.google.com/maps/search/?api=1&amp;query=24.75244777,46.66041016", "View Map")</f>
        <v>View Map</v>
      </c>
    </row>
    <row r="23" spans="1:7" x14ac:dyDescent="0.3">
      <c r="A23" t="s">
        <v>45</v>
      </c>
      <c r="B23" t="s">
        <v>46</v>
      </c>
      <c r="C23" t="s">
        <v>9</v>
      </c>
      <c r="D23" t="s">
        <v>10</v>
      </c>
      <c r="E23">
        <v>5159</v>
      </c>
      <c r="F23" t="b">
        <v>1</v>
      </c>
      <c r="G23" t="str">
        <f>HYPERLINK("https://www.google.com/maps/search/?api=1&amp;query=24.55178967,46.76239806", "View Map")</f>
        <v>View Map</v>
      </c>
    </row>
    <row r="24" spans="1:7" x14ac:dyDescent="0.3">
      <c r="A24" t="s">
        <v>47</v>
      </c>
      <c r="B24" t="s">
        <v>48</v>
      </c>
      <c r="C24" t="s">
        <v>9</v>
      </c>
      <c r="D24" t="s">
        <v>10</v>
      </c>
      <c r="E24">
        <v>4979</v>
      </c>
      <c r="F24" t="b">
        <v>1</v>
      </c>
      <c r="G24" t="str">
        <f>HYPERLINK("https://www.google.com/maps/search/?api=1&amp;query=24.66706887,46.74262083", "View Map")</f>
        <v>View Map</v>
      </c>
    </row>
    <row r="25" spans="1:7" x14ac:dyDescent="0.3">
      <c r="A25" t="s">
        <v>49</v>
      </c>
      <c r="B25" t="s">
        <v>50</v>
      </c>
      <c r="C25" t="s">
        <v>9</v>
      </c>
      <c r="D25" t="s">
        <v>10</v>
      </c>
      <c r="E25">
        <v>4973</v>
      </c>
      <c r="F25" t="b">
        <v>1</v>
      </c>
      <c r="G25" t="str">
        <f>HYPERLINK("https://www.google.com/maps/search/?api=1&amp;query=24.71811061,46.85098508", "View Map")</f>
        <v>View Map</v>
      </c>
    </row>
    <row r="26" spans="1:7" x14ac:dyDescent="0.3">
      <c r="A26" t="s">
        <v>51</v>
      </c>
      <c r="B26" t="s">
        <v>52</v>
      </c>
      <c r="C26" t="s">
        <v>9</v>
      </c>
      <c r="D26" t="s">
        <v>10</v>
      </c>
      <c r="E26">
        <v>4966</v>
      </c>
      <c r="F26" t="b">
        <v>1</v>
      </c>
      <c r="G26" t="str">
        <f>HYPERLINK("https://www.google.com/maps/search/?api=1&amp;query=24.55545024,46.71343576", "View Map")</f>
        <v>View Map</v>
      </c>
    </row>
    <row r="27" spans="1:7" x14ac:dyDescent="0.3">
      <c r="A27" t="s">
        <v>27</v>
      </c>
      <c r="B27" t="s">
        <v>53</v>
      </c>
      <c r="C27" t="s">
        <v>9</v>
      </c>
      <c r="D27" t="s">
        <v>10</v>
      </c>
      <c r="E27">
        <v>4879</v>
      </c>
      <c r="F27" t="b">
        <v>1</v>
      </c>
      <c r="G27" t="str">
        <f>HYPERLINK("https://www.google.com/maps/search/?api=1&amp;query=24.8589,46.6406", "View Map")</f>
        <v>View Map</v>
      </c>
    </row>
    <row r="28" spans="1:7" x14ac:dyDescent="0.3">
      <c r="A28" t="s">
        <v>54</v>
      </c>
      <c r="B28" t="s">
        <v>55</v>
      </c>
      <c r="C28" t="s">
        <v>9</v>
      </c>
      <c r="D28" t="s">
        <v>10</v>
      </c>
      <c r="E28">
        <v>4828</v>
      </c>
      <c r="F28" t="b">
        <v>1</v>
      </c>
      <c r="G28" t="str">
        <f>HYPERLINK("https://www.google.com/maps/search/?api=1&amp;query=24.62757384,46.74264107", "View Map")</f>
        <v>View Map</v>
      </c>
    </row>
    <row r="29" spans="1:7" x14ac:dyDescent="0.3">
      <c r="A29" t="s">
        <v>56</v>
      </c>
      <c r="B29" t="s">
        <v>57</v>
      </c>
      <c r="C29" t="s">
        <v>9</v>
      </c>
      <c r="D29" t="s">
        <v>10</v>
      </c>
      <c r="E29">
        <v>4772</v>
      </c>
      <c r="F29" t="b">
        <v>1</v>
      </c>
      <c r="G29" t="str">
        <f>HYPERLINK("https://www.google.com/maps/search/?api=1&amp;query=24.81794716,46.77955596", "View Map")</f>
        <v>View Map</v>
      </c>
    </row>
    <row r="30" spans="1:7" x14ac:dyDescent="0.3">
      <c r="A30" t="s">
        <v>58</v>
      </c>
      <c r="B30" t="s">
        <v>59</v>
      </c>
      <c r="C30" t="s">
        <v>9</v>
      </c>
      <c r="D30" t="s">
        <v>10</v>
      </c>
      <c r="E30">
        <v>4737</v>
      </c>
      <c r="F30" t="b">
        <v>1</v>
      </c>
      <c r="G30" t="str">
        <f>HYPERLINK("https://www.google.com/maps/search/?api=1&amp;query=24.70831193,46.80891747", "View Map")</f>
        <v>View Map</v>
      </c>
    </row>
    <row r="31" spans="1:7" x14ac:dyDescent="0.3">
      <c r="A31" t="s">
        <v>27</v>
      </c>
      <c r="B31" t="s">
        <v>60</v>
      </c>
      <c r="C31" t="s">
        <v>9</v>
      </c>
      <c r="D31" t="s">
        <v>10</v>
      </c>
      <c r="E31">
        <v>4701</v>
      </c>
      <c r="F31" t="b">
        <v>1</v>
      </c>
      <c r="G31" t="str">
        <f>HYPERLINK("https://www.google.com/maps/search/?api=1&amp;query=24.69409578,46.60271828", "View Map")</f>
        <v>View Map</v>
      </c>
    </row>
    <row r="32" spans="1:7" x14ac:dyDescent="0.3">
      <c r="A32" t="s">
        <v>27</v>
      </c>
      <c r="B32" t="s">
        <v>61</v>
      </c>
      <c r="C32" t="s">
        <v>9</v>
      </c>
      <c r="D32" t="s">
        <v>10</v>
      </c>
      <c r="E32">
        <v>4442</v>
      </c>
      <c r="F32" t="b">
        <v>1</v>
      </c>
      <c r="G32" t="str">
        <f>HYPERLINK("https://www.google.com/maps/search/?api=1&amp;query=24.77533413,46.69329393", "View Map")</f>
        <v>View Map</v>
      </c>
    </row>
    <row r="33" spans="1:7" x14ac:dyDescent="0.3">
      <c r="A33" t="s">
        <v>62</v>
      </c>
      <c r="B33" t="s">
        <v>63</v>
      </c>
      <c r="C33" t="s">
        <v>9</v>
      </c>
      <c r="D33" t="s">
        <v>10</v>
      </c>
      <c r="E33">
        <v>4172</v>
      </c>
      <c r="F33" t="b">
        <v>1</v>
      </c>
      <c r="G33" t="str">
        <f>HYPERLINK("https://www.google.com/maps/search/?api=1&amp;query=24.63422828,46.70184492", "View Map")</f>
        <v>View Map</v>
      </c>
    </row>
    <row r="34" spans="1:7" x14ac:dyDescent="0.3">
      <c r="A34" t="s">
        <v>64</v>
      </c>
      <c r="B34" t="s">
        <v>65</v>
      </c>
      <c r="C34" t="s">
        <v>9</v>
      </c>
      <c r="D34" t="s">
        <v>10</v>
      </c>
      <c r="E34">
        <v>4116</v>
      </c>
      <c r="F34" t="b">
        <v>1</v>
      </c>
      <c r="G34" t="str">
        <f>HYPERLINK("https://www.google.com/maps/search/?api=1&amp;query=24.64446,46.67468", "View Map")</f>
        <v>View Map</v>
      </c>
    </row>
    <row r="35" spans="1:7" x14ac:dyDescent="0.3">
      <c r="A35" t="s">
        <v>27</v>
      </c>
      <c r="B35" t="s">
        <v>66</v>
      </c>
      <c r="C35" t="s">
        <v>9</v>
      </c>
      <c r="D35" t="s">
        <v>10</v>
      </c>
      <c r="E35">
        <v>4064</v>
      </c>
      <c r="F35" t="b">
        <v>1</v>
      </c>
      <c r="G35" t="str">
        <f>HYPERLINK("https://www.google.com/maps/search/?api=1&amp;query=24.79720059,46.59853213", "View Map")</f>
        <v>View Map</v>
      </c>
    </row>
    <row r="36" spans="1:7" x14ac:dyDescent="0.3">
      <c r="A36" t="s">
        <v>67</v>
      </c>
      <c r="B36" t="s">
        <v>68</v>
      </c>
      <c r="C36" t="s">
        <v>9</v>
      </c>
      <c r="D36" t="s">
        <v>10</v>
      </c>
      <c r="E36">
        <v>3975</v>
      </c>
      <c r="F36" t="b">
        <v>1</v>
      </c>
      <c r="G36" t="str">
        <f>HYPERLINK("https://www.google.com/maps/search/?api=1&amp;query=24.79026589,46.80096866", "View Map")</f>
        <v>View Map</v>
      </c>
    </row>
    <row r="37" spans="1:7" x14ac:dyDescent="0.3">
      <c r="A37" t="s">
        <v>27</v>
      </c>
      <c r="B37" t="s">
        <v>69</v>
      </c>
      <c r="C37" t="s">
        <v>9</v>
      </c>
      <c r="D37" t="s">
        <v>10</v>
      </c>
      <c r="E37">
        <v>3969</v>
      </c>
      <c r="F37" t="b">
        <v>1</v>
      </c>
      <c r="G37" t="str">
        <f>HYPERLINK("https://www.google.com/maps/search/?api=1&amp;query=24.81315951,46.79012088", "View Map")</f>
        <v>View Map</v>
      </c>
    </row>
    <row r="38" spans="1:7" x14ac:dyDescent="0.3">
      <c r="A38" t="s">
        <v>70</v>
      </c>
      <c r="B38" t="s">
        <v>71</v>
      </c>
      <c r="C38" t="s">
        <v>72</v>
      </c>
      <c r="D38" t="s">
        <v>10</v>
      </c>
      <c r="E38">
        <v>3820</v>
      </c>
      <c r="F38" t="b">
        <v>1</v>
      </c>
      <c r="G38" t="str">
        <f>HYPERLINK("https://www.google.com/maps/search/?api=1&amp;query=24.80390597,46.52287513", "View Map")</f>
        <v>View Map</v>
      </c>
    </row>
    <row r="39" spans="1:7" x14ac:dyDescent="0.3">
      <c r="A39" t="s">
        <v>73</v>
      </c>
      <c r="B39" t="s">
        <v>74</v>
      </c>
      <c r="C39" t="s">
        <v>9</v>
      </c>
      <c r="D39" t="s">
        <v>10</v>
      </c>
      <c r="E39">
        <v>3800</v>
      </c>
      <c r="F39" t="b">
        <v>1</v>
      </c>
      <c r="G39" t="str">
        <f>HYPERLINK("https://www.google.com/maps/search/?api=1&amp;query=24.58757385,46.59471991", "View Map")</f>
        <v>View Map</v>
      </c>
    </row>
    <row r="40" spans="1:7" x14ac:dyDescent="0.3">
      <c r="A40" t="s">
        <v>75</v>
      </c>
      <c r="B40" t="s">
        <v>76</v>
      </c>
      <c r="C40" t="s">
        <v>9</v>
      </c>
      <c r="D40" t="s">
        <v>10</v>
      </c>
      <c r="E40">
        <v>3765</v>
      </c>
      <c r="F40" t="b">
        <v>1</v>
      </c>
      <c r="G40" t="str">
        <f>HYPERLINK("https://www.google.com/maps/search/?api=1&amp;query=24.82324652,46.64278055", "View Map")</f>
        <v>View Map</v>
      </c>
    </row>
    <row r="41" spans="1:7" x14ac:dyDescent="0.3">
      <c r="A41" t="s">
        <v>77</v>
      </c>
      <c r="B41" t="s">
        <v>78</v>
      </c>
      <c r="C41" t="s">
        <v>9</v>
      </c>
      <c r="D41" t="s">
        <v>10</v>
      </c>
      <c r="E41">
        <v>3640</v>
      </c>
      <c r="F41" t="b">
        <v>1</v>
      </c>
      <c r="G41" t="str">
        <f>HYPERLINK("https://www.google.com/maps/search/?api=1&amp;query=24.5885165,46.67740114", "View Map")</f>
        <v>View Map</v>
      </c>
    </row>
    <row r="42" spans="1:7" x14ac:dyDescent="0.3">
      <c r="A42" t="s">
        <v>79</v>
      </c>
      <c r="B42" t="s">
        <v>80</v>
      </c>
      <c r="C42" t="s">
        <v>9</v>
      </c>
      <c r="D42" t="s">
        <v>10</v>
      </c>
      <c r="E42">
        <v>3616</v>
      </c>
      <c r="F42" t="b">
        <v>1</v>
      </c>
      <c r="G42" t="str">
        <f>HYPERLINK("https://www.google.com/maps/search/?api=1&amp;query=24.67622402,46.72770081", "View Map")</f>
        <v>View Map</v>
      </c>
    </row>
    <row r="43" spans="1:7" x14ac:dyDescent="0.3">
      <c r="A43" t="s">
        <v>27</v>
      </c>
      <c r="B43" t="s">
        <v>81</v>
      </c>
      <c r="C43" t="s">
        <v>9</v>
      </c>
      <c r="D43" t="s">
        <v>10</v>
      </c>
      <c r="E43">
        <v>3597</v>
      </c>
      <c r="F43" t="b">
        <v>1</v>
      </c>
      <c r="G43" t="str">
        <f>HYPERLINK("https://www.google.com/maps/search/?api=1&amp;query=24.83314673,46.74338989", "View Map")</f>
        <v>View Map</v>
      </c>
    </row>
    <row r="44" spans="1:7" x14ac:dyDescent="0.3">
      <c r="A44" t="s">
        <v>27</v>
      </c>
      <c r="B44" t="s">
        <v>82</v>
      </c>
      <c r="C44" t="s">
        <v>9</v>
      </c>
      <c r="D44" t="s">
        <v>10</v>
      </c>
      <c r="E44">
        <v>3544</v>
      </c>
      <c r="F44" t="b">
        <v>1</v>
      </c>
      <c r="G44" t="str">
        <f>HYPERLINK("https://www.google.com/maps/search/?api=1&amp;query=24.7961,46.6783", "View Map")</f>
        <v>View Map</v>
      </c>
    </row>
    <row r="45" spans="1:7" x14ac:dyDescent="0.3">
      <c r="A45" t="s">
        <v>83</v>
      </c>
      <c r="B45" t="s">
        <v>84</v>
      </c>
      <c r="C45" t="s">
        <v>9</v>
      </c>
      <c r="D45" t="s">
        <v>10</v>
      </c>
      <c r="E45">
        <v>3540</v>
      </c>
      <c r="F45" t="b">
        <v>1</v>
      </c>
      <c r="G45" t="str">
        <f>HYPERLINK("https://www.google.com/maps/search/?api=1&amp;query=24.74727361,46.84160882", "View Map")</f>
        <v>View Map</v>
      </c>
    </row>
    <row r="46" spans="1:7" x14ac:dyDescent="0.3">
      <c r="A46" t="s">
        <v>85</v>
      </c>
      <c r="B46" t="s">
        <v>86</v>
      </c>
      <c r="C46" t="s">
        <v>9</v>
      </c>
      <c r="D46" t="s">
        <v>10</v>
      </c>
      <c r="E46">
        <v>3533</v>
      </c>
      <c r="F46" t="b">
        <v>1</v>
      </c>
      <c r="G46" t="str">
        <f>HYPERLINK("https://www.google.com/maps/search/?api=1&amp;query=24.80627015,46.66876306", "View Map")</f>
        <v>View Map</v>
      </c>
    </row>
    <row r="47" spans="1:7" x14ac:dyDescent="0.3">
      <c r="A47" t="s">
        <v>27</v>
      </c>
      <c r="B47" t="s">
        <v>87</v>
      </c>
      <c r="C47" t="s">
        <v>9</v>
      </c>
      <c r="D47" t="s">
        <v>10</v>
      </c>
      <c r="E47">
        <v>3467</v>
      </c>
      <c r="F47" t="b">
        <v>1</v>
      </c>
      <c r="G47" t="str">
        <f>HYPERLINK("https://www.google.com/maps/search/?api=1&amp;query=24.83797343,46.60331339", "View Map")</f>
        <v>View Map</v>
      </c>
    </row>
    <row r="48" spans="1:7" x14ac:dyDescent="0.3">
      <c r="A48" t="s">
        <v>88</v>
      </c>
      <c r="B48" t="s">
        <v>89</v>
      </c>
      <c r="C48" t="s">
        <v>9</v>
      </c>
      <c r="D48" t="s">
        <v>10</v>
      </c>
      <c r="E48">
        <v>3430</v>
      </c>
      <c r="F48" t="b">
        <v>1</v>
      </c>
      <c r="G48" t="str">
        <f>HYPERLINK("https://www.google.com/maps/search/?api=1&amp;query=24.70812841,46.82041352", "View Map")</f>
        <v>View Map</v>
      </c>
    </row>
    <row r="49" spans="1:7" x14ac:dyDescent="0.3">
      <c r="A49" t="s">
        <v>90</v>
      </c>
      <c r="B49" t="s">
        <v>91</v>
      </c>
      <c r="C49" t="s">
        <v>9</v>
      </c>
      <c r="D49" t="s">
        <v>10</v>
      </c>
      <c r="E49">
        <v>3409</v>
      </c>
      <c r="F49" t="b">
        <v>1</v>
      </c>
      <c r="G49" t="str">
        <f>HYPERLINK("https://www.google.com/maps/search/?api=1&amp;query=24.79631409,46.70845731", "View Map")</f>
        <v>View Map</v>
      </c>
    </row>
    <row r="50" spans="1:7" x14ac:dyDescent="0.3">
      <c r="A50" t="s">
        <v>27</v>
      </c>
      <c r="B50" t="s">
        <v>92</v>
      </c>
      <c r="C50" t="s">
        <v>9</v>
      </c>
      <c r="D50" t="s">
        <v>10</v>
      </c>
      <c r="E50">
        <v>3366</v>
      </c>
      <c r="F50" t="b">
        <v>0</v>
      </c>
      <c r="G50" t="str">
        <f>HYPERLINK("https://www.google.com/maps/search/?api=1&amp;query=0.0,0.0", "View Map")</f>
        <v>View Map</v>
      </c>
    </row>
    <row r="51" spans="1:7" x14ac:dyDescent="0.3">
      <c r="A51" t="s">
        <v>93</v>
      </c>
      <c r="B51" t="s">
        <v>94</v>
      </c>
      <c r="C51" t="s">
        <v>9</v>
      </c>
      <c r="D51" t="s">
        <v>10</v>
      </c>
      <c r="E51">
        <v>3366</v>
      </c>
      <c r="F51" t="b">
        <v>1</v>
      </c>
      <c r="G51" t="str">
        <f>HYPERLINK("https://www.google.com/maps/search/?api=1&amp;query=24.6042,46.7106", "View Map")</f>
        <v>View Map</v>
      </c>
    </row>
    <row r="52" spans="1:7" x14ac:dyDescent="0.3">
      <c r="A52" t="s">
        <v>27</v>
      </c>
      <c r="B52" t="s">
        <v>95</v>
      </c>
      <c r="C52" t="s">
        <v>9</v>
      </c>
      <c r="D52" t="s">
        <v>10</v>
      </c>
      <c r="E52">
        <v>3344</v>
      </c>
      <c r="F52" t="b">
        <v>1</v>
      </c>
      <c r="G52" t="str">
        <f>HYPERLINK("https://www.google.com/maps/search/?api=1&amp;query=24.82874649,46.73084389", "View Map")</f>
        <v>View Map</v>
      </c>
    </row>
    <row r="53" spans="1:7" x14ac:dyDescent="0.3">
      <c r="A53" t="s">
        <v>96</v>
      </c>
      <c r="B53" t="s">
        <v>97</v>
      </c>
      <c r="C53" t="s">
        <v>9</v>
      </c>
      <c r="D53" t="s">
        <v>10</v>
      </c>
      <c r="E53">
        <v>3325</v>
      </c>
      <c r="F53" t="b">
        <v>1</v>
      </c>
      <c r="G53" t="str">
        <f>HYPERLINK("https://www.google.com/maps/search/?api=1&amp;query=24.56288985,46.87173798", "View Map")</f>
        <v>View Map</v>
      </c>
    </row>
    <row r="54" spans="1:7" x14ac:dyDescent="0.3">
      <c r="A54" t="s">
        <v>98</v>
      </c>
      <c r="B54" t="s">
        <v>99</v>
      </c>
      <c r="C54" t="s">
        <v>9</v>
      </c>
      <c r="D54" t="s">
        <v>10</v>
      </c>
      <c r="E54">
        <v>3323</v>
      </c>
      <c r="F54" t="b">
        <v>1</v>
      </c>
      <c r="G54" t="str">
        <f>HYPERLINK("https://www.google.com/maps/search/?api=1&amp;query=24.76056813,46.60082157", "View Map")</f>
        <v>View Map</v>
      </c>
    </row>
    <row r="55" spans="1:7" x14ac:dyDescent="0.3">
      <c r="A55" t="s">
        <v>100</v>
      </c>
      <c r="B55" t="s">
        <v>101</v>
      </c>
      <c r="C55" t="s">
        <v>9</v>
      </c>
      <c r="D55" t="s">
        <v>10</v>
      </c>
      <c r="E55">
        <v>3274</v>
      </c>
      <c r="F55" t="b">
        <v>1</v>
      </c>
      <c r="G55" t="str">
        <f>HYPERLINK("https://www.google.com/maps/search/?api=1&amp;query=24.58584592,46.66717194", "View Map")</f>
        <v>View Map</v>
      </c>
    </row>
    <row r="56" spans="1:7" x14ac:dyDescent="0.3">
      <c r="A56" t="s">
        <v>27</v>
      </c>
      <c r="B56" t="s">
        <v>102</v>
      </c>
      <c r="C56" t="s">
        <v>9</v>
      </c>
      <c r="D56" t="s">
        <v>10</v>
      </c>
      <c r="E56">
        <v>3272</v>
      </c>
      <c r="F56" t="b">
        <v>1</v>
      </c>
      <c r="G56" t="str">
        <f>HYPERLINK("https://www.google.com/maps/search/?api=1&amp;query=24.6137815,46.75777171", "View Map")</f>
        <v>View Map</v>
      </c>
    </row>
    <row r="57" spans="1:7" x14ac:dyDescent="0.3">
      <c r="A57" t="s">
        <v>103</v>
      </c>
      <c r="B57" t="s">
        <v>104</v>
      </c>
      <c r="C57" t="s">
        <v>9</v>
      </c>
      <c r="D57" t="s">
        <v>10</v>
      </c>
      <c r="E57">
        <v>3269</v>
      </c>
      <c r="F57" t="b">
        <v>1</v>
      </c>
      <c r="G57" t="str">
        <f>HYPERLINK("https://www.google.com/maps/search/?api=1&amp;query=24.71568591,46.82771854", "View Map")</f>
        <v>View Map</v>
      </c>
    </row>
    <row r="58" spans="1:7" x14ac:dyDescent="0.3">
      <c r="A58" t="s">
        <v>105</v>
      </c>
      <c r="B58" t="s">
        <v>106</v>
      </c>
      <c r="C58" t="s">
        <v>9</v>
      </c>
      <c r="D58" t="s">
        <v>10</v>
      </c>
      <c r="E58">
        <v>3219</v>
      </c>
      <c r="F58" t="b">
        <v>1</v>
      </c>
      <c r="G58" t="str">
        <f>HYPERLINK("https://www.google.com/maps/search/?api=1&amp;query=24.67291561,46.86330744", "View Map")</f>
        <v>View Map</v>
      </c>
    </row>
    <row r="59" spans="1:7" x14ac:dyDescent="0.3">
      <c r="A59" t="s">
        <v>107</v>
      </c>
      <c r="B59" t="s">
        <v>108</v>
      </c>
      <c r="C59" t="s">
        <v>9</v>
      </c>
      <c r="D59" t="s">
        <v>10</v>
      </c>
      <c r="E59">
        <v>3211</v>
      </c>
      <c r="F59" t="b">
        <v>1</v>
      </c>
      <c r="G59" t="str">
        <f>HYPERLINK("https://www.google.com/maps/search/?api=1&amp;query=24.70921421,46.76989273", "View Map")</f>
        <v>View Map</v>
      </c>
    </row>
    <row r="60" spans="1:7" x14ac:dyDescent="0.3">
      <c r="A60" t="s">
        <v>109</v>
      </c>
      <c r="B60" t="s">
        <v>110</v>
      </c>
      <c r="C60" t="s">
        <v>9</v>
      </c>
      <c r="D60" t="s">
        <v>10</v>
      </c>
      <c r="E60">
        <v>3150</v>
      </c>
      <c r="F60" t="b">
        <v>1</v>
      </c>
      <c r="G60" t="str">
        <f>HYPERLINK("https://www.google.com/maps/search/?api=1&amp;query=24.78265071,46.58388412", "View Map")</f>
        <v>View Map</v>
      </c>
    </row>
    <row r="61" spans="1:7" x14ac:dyDescent="0.3">
      <c r="A61" t="s">
        <v>111</v>
      </c>
      <c r="B61" t="s">
        <v>112</v>
      </c>
      <c r="C61" t="s">
        <v>9</v>
      </c>
      <c r="D61" t="s">
        <v>10</v>
      </c>
      <c r="E61">
        <v>3144</v>
      </c>
      <c r="F61" t="b">
        <v>1</v>
      </c>
      <c r="G61" t="str">
        <f>HYPERLINK("https://www.google.com/maps/search/?api=1&amp;query=24.78040768,46.74986449", "View Map")</f>
        <v>View Map</v>
      </c>
    </row>
    <row r="62" spans="1:7" x14ac:dyDescent="0.3">
      <c r="A62" t="s">
        <v>19</v>
      </c>
      <c r="B62" t="s">
        <v>113</v>
      </c>
      <c r="C62" t="s">
        <v>9</v>
      </c>
      <c r="D62" t="s">
        <v>10</v>
      </c>
      <c r="E62">
        <v>3079</v>
      </c>
      <c r="F62" t="b">
        <v>1</v>
      </c>
      <c r="G62" t="str">
        <f>HYPERLINK("https://www.google.com/maps/search/?api=1&amp;query=24.78684,46.61241", "View Map")</f>
        <v>View Map</v>
      </c>
    </row>
    <row r="63" spans="1:7" x14ac:dyDescent="0.3">
      <c r="A63" t="s">
        <v>114</v>
      </c>
      <c r="B63" t="s">
        <v>115</v>
      </c>
      <c r="C63" t="s">
        <v>9</v>
      </c>
      <c r="D63" t="s">
        <v>10</v>
      </c>
      <c r="E63">
        <v>3054</v>
      </c>
      <c r="F63" t="b">
        <v>1</v>
      </c>
      <c r="G63" t="str">
        <f>HYPERLINK("https://www.google.com/maps/search/?api=1&amp;query=24.58331852,46.61143754", "View Map")</f>
        <v>View Map</v>
      </c>
    </row>
    <row r="64" spans="1:7" x14ac:dyDescent="0.3">
      <c r="A64" t="s">
        <v>27</v>
      </c>
      <c r="B64" t="s">
        <v>116</v>
      </c>
      <c r="C64" t="s">
        <v>9</v>
      </c>
      <c r="D64" t="s">
        <v>10</v>
      </c>
      <c r="E64">
        <v>3047</v>
      </c>
      <c r="F64" t="b">
        <v>1</v>
      </c>
      <c r="G64" t="str">
        <f>HYPERLINK("https://www.google.com/maps/search/?api=1&amp;query=24.81908,46.61899", "View Map")</f>
        <v>View Map</v>
      </c>
    </row>
    <row r="65" spans="1:7" x14ac:dyDescent="0.3">
      <c r="A65" t="s">
        <v>117</v>
      </c>
      <c r="B65" t="s">
        <v>118</v>
      </c>
      <c r="C65" t="s">
        <v>9</v>
      </c>
      <c r="D65" t="s">
        <v>10</v>
      </c>
      <c r="E65">
        <v>3030</v>
      </c>
      <c r="F65" t="b">
        <v>1</v>
      </c>
      <c r="G65" t="str">
        <f>HYPERLINK("https://www.google.com/maps/search/?api=1&amp;query=24.74076623,46.79615151", "View Map")</f>
        <v>View Map</v>
      </c>
    </row>
    <row r="66" spans="1:7" x14ac:dyDescent="0.3">
      <c r="A66" t="s">
        <v>119</v>
      </c>
      <c r="B66" t="s">
        <v>120</v>
      </c>
      <c r="C66" t="s">
        <v>9</v>
      </c>
      <c r="D66" t="s">
        <v>10</v>
      </c>
      <c r="E66">
        <v>2975</v>
      </c>
      <c r="F66" t="b">
        <v>1</v>
      </c>
      <c r="G66" t="str">
        <f>HYPERLINK("https://www.google.com/maps/search/?api=1&amp;query=24.80129235,46.74042935", "View Map")</f>
        <v>View Map</v>
      </c>
    </row>
    <row r="67" spans="1:7" x14ac:dyDescent="0.3">
      <c r="A67" t="s">
        <v>121</v>
      </c>
      <c r="B67" t="s">
        <v>122</v>
      </c>
      <c r="C67" t="s">
        <v>9</v>
      </c>
      <c r="D67" t="s">
        <v>10</v>
      </c>
      <c r="E67">
        <v>2974</v>
      </c>
      <c r="F67" t="b">
        <v>1</v>
      </c>
      <c r="G67" t="str">
        <f>HYPERLINK("https://www.google.com/maps/search/?api=1&amp;query=24.69469787,46.74235539", "View Map")</f>
        <v>View Map</v>
      </c>
    </row>
    <row r="68" spans="1:7" x14ac:dyDescent="0.3">
      <c r="A68" t="s">
        <v>123</v>
      </c>
      <c r="B68" t="s">
        <v>124</v>
      </c>
      <c r="C68" t="s">
        <v>9</v>
      </c>
      <c r="D68" t="s">
        <v>10</v>
      </c>
      <c r="E68">
        <v>2973</v>
      </c>
      <c r="F68" t="b">
        <v>1</v>
      </c>
      <c r="G68" t="str">
        <f>HYPERLINK("https://www.google.com/maps/search/?api=1&amp;query=24.63609762,46.7104271", "View Map")</f>
        <v>View Map</v>
      </c>
    </row>
    <row r="69" spans="1:7" x14ac:dyDescent="0.3">
      <c r="A69" t="s">
        <v>125</v>
      </c>
      <c r="B69" t="s">
        <v>126</v>
      </c>
      <c r="C69" t="s">
        <v>9</v>
      </c>
      <c r="D69" t="s">
        <v>10</v>
      </c>
      <c r="E69">
        <v>2957</v>
      </c>
      <c r="F69" t="b">
        <v>1</v>
      </c>
      <c r="G69" t="str">
        <f>HYPERLINK("https://www.google.com/maps/search/?api=1&amp;query=24.73936669,46.60787857", "View Map")</f>
        <v>View Map</v>
      </c>
    </row>
    <row r="70" spans="1:7" x14ac:dyDescent="0.3">
      <c r="A70" t="s">
        <v>127</v>
      </c>
      <c r="B70" t="s">
        <v>128</v>
      </c>
      <c r="C70" t="s">
        <v>9</v>
      </c>
      <c r="D70" t="s">
        <v>10</v>
      </c>
      <c r="E70">
        <v>2948</v>
      </c>
      <c r="F70" t="b">
        <v>1</v>
      </c>
      <c r="G70" t="str">
        <f>HYPERLINK("https://www.google.com/maps/search/?api=1&amp;query=24.80212711,46.7338643", "View Map")</f>
        <v>View Map</v>
      </c>
    </row>
    <row r="71" spans="1:7" x14ac:dyDescent="0.3">
      <c r="A71" t="s">
        <v>129</v>
      </c>
      <c r="B71" t="s">
        <v>130</v>
      </c>
      <c r="C71" t="s">
        <v>9</v>
      </c>
      <c r="D71" t="s">
        <v>10</v>
      </c>
      <c r="E71">
        <v>2900</v>
      </c>
      <c r="F71" t="b">
        <v>1</v>
      </c>
      <c r="G71" t="str">
        <f>HYPERLINK("https://www.google.com/maps/search/?api=1&amp;query=24.56145228,46.79002075", "View Map")</f>
        <v>View Map</v>
      </c>
    </row>
    <row r="72" spans="1:7" x14ac:dyDescent="0.3">
      <c r="A72" t="s">
        <v>131</v>
      </c>
      <c r="B72" t="s">
        <v>132</v>
      </c>
      <c r="C72" t="s">
        <v>9</v>
      </c>
      <c r="D72" t="s">
        <v>10</v>
      </c>
      <c r="E72">
        <v>2880</v>
      </c>
      <c r="F72" t="b">
        <v>1</v>
      </c>
      <c r="G72" t="str">
        <f>HYPERLINK("https://www.google.com/maps/search/?api=1&amp;query=24.80580317,46.64511913", "View Map")</f>
        <v>View Map</v>
      </c>
    </row>
    <row r="73" spans="1:7" x14ac:dyDescent="0.3">
      <c r="A73" t="s">
        <v>133</v>
      </c>
      <c r="B73" t="s">
        <v>134</v>
      </c>
      <c r="C73" t="s">
        <v>9</v>
      </c>
      <c r="D73" t="s">
        <v>10</v>
      </c>
      <c r="E73">
        <v>2846</v>
      </c>
      <c r="F73" t="b">
        <v>1</v>
      </c>
      <c r="G73" t="str">
        <f>HYPERLINK("https://www.google.com/maps/search/?api=1&amp;query=24.66201851,46.86361439", "View Map")</f>
        <v>View Map</v>
      </c>
    </row>
    <row r="74" spans="1:7" x14ac:dyDescent="0.3">
      <c r="A74" t="s">
        <v>135</v>
      </c>
      <c r="B74" t="s">
        <v>136</v>
      </c>
      <c r="C74" t="s">
        <v>9</v>
      </c>
      <c r="D74" t="s">
        <v>10</v>
      </c>
      <c r="E74">
        <v>2763</v>
      </c>
      <c r="F74" t="b">
        <v>1</v>
      </c>
      <c r="G74" t="str">
        <f>HYPERLINK("https://www.google.com/maps/search/?api=1&amp;query=24.61919749,46.7485558", "View Map")</f>
        <v>View Map</v>
      </c>
    </row>
    <row r="75" spans="1:7" x14ac:dyDescent="0.3">
      <c r="A75" t="s">
        <v>27</v>
      </c>
      <c r="B75" t="s">
        <v>137</v>
      </c>
      <c r="C75" t="s">
        <v>9</v>
      </c>
      <c r="D75" t="s">
        <v>10</v>
      </c>
      <c r="E75">
        <v>2757</v>
      </c>
      <c r="F75" t="b">
        <v>1</v>
      </c>
      <c r="G75" t="str">
        <f>HYPERLINK("https://www.google.com/maps/search/?api=1&amp;query=24.81908134,46.6605319", "View Map")</f>
        <v>View Map</v>
      </c>
    </row>
    <row r="76" spans="1:7" x14ac:dyDescent="0.3">
      <c r="A76" t="s">
        <v>27</v>
      </c>
      <c r="B76" t="s">
        <v>138</v>
      </c>
      <c r="C76" t="s">
        <v>9</v>
      </c>
      <c r="D76" t="s">
        <v>10</v>
      </c>
      <c r="E76">
        <v>2749</v>
      </c>
      <c r="F76" t="b">
        <v>1</v>
      </c>
      <c r="G76" t="str">
        <f>HYPERLINK("https://www.google.com/maps/search/?api=1&amp;query=24.8797477,46.60346858", "View Map")</f>
        <v>View Map</v>
      </c>
    </row>
    <row r="77" spans="1:7" x14ac:dyDescent="0.3">
      <c r="A77" t="s">
        <v>139</v>
      </c>
      <c r="B77" t="s">
        <v>140</v>
      </c>
      <c r="C77" t="s">
        <v>9</v>
      </c>
      <c r="D77" t="s">
        <v>10</v>
      </c>
      <c r="E77">
        <v>2727</v>
      </c>
      <c r="F77" t="b">
        <v>1</v>
      </c>
      <c r="G77" t="str">
        <f>HYPERLINK("https://www.google.com/maps/search/?api=1&amp;query=24.76462182,46.76403247", "View Map")</f>
        <v>View Map</v>
      </c>
    </row>
    <row r="78" spans="1:7" x14ac:dyDescent="0.3">
      <c r="A78" t="s">
        <v>141</v>
      </c>
      <c r="B78" t="s">
        <v>142</v>
      </c>
      <c r="C78" t="s">
        <v>9</v>
      </c>
      <c r="D78" t="s">
        <v>10</v>
      </c>
      <c r="E78">
        <v>2721</v>
      </c>
      <c r="F78" t="b">
        <v>1</v>
      </c>
      <c r="G78" t="str">
        <f>HYPERLINK("https://www.google.com/maps/search/?api=1&amp;query=24.82022623,46.77454046", "View Map")</f>
        <v>View Map</v>
      </c>
    </row>
    <row r="79" spans="1:7" x14ac:dyDescent="0.3">
      <c r="A79" t="s">
        <v>143</v>
      </c>
      <c r="B79" t="s">
        <v>144</v>
      </c>
      <c r="C79" t="s">
        <v>9</v>
      </c>
      <c r="D79" t="s">
        <v>10</v>
      </c>
      <c r="E79">
        <v>2712</v>
      </c>
      <c r="F79" t="b">
        <v>1</v>
      </c>
      <c r="G79" t="str">
        <f>HYPERLINK("https://www.google.com/maps/search/?api=1&amp;query=24.68503394,46.57709164", "View Map")</f>
        <v>View Map</v>
      </c>
    </row>
    <row r="80" spans="1:7" x14ac:dyDescent="0.3">
      <c r="A80" t="s">
        <v>145</v>
      </c>
      <c r="B80" t="s">
        <v>146</v>
      </c>
      <c r="C80" t="s">
        <v>9</v>
      </c>
      <c r="D80" t="s">
        <v>10</v>
      </c>
      <c r="E80">
        <v>2701</v>
      </c>
      <c r="F80" t="b">
        <v>1</v>
      </c>
      <c r="G80" t="str">
        <f>HYPERLINK("https://www.google.com/maps/search/?api=1&amp;query=24.8112021,46.78053911", "View Map")</f>
        <v>View Map</v>
      </c>
    </row>
    <row r="81" spans="1:7" x14ac:dyDescent="0.3">
      <c r="A81" t="s">
        <v>27</v>
      </c>
      <c r="B81" t="s">
        <v>147</v>
      </c>
      <c r="C81" t="s">
        <v>9</v>
      </c>
      <c r="D81" t="s">
        <v>10</v>
      </c>
      <c r="E81">
        <v>2680</v>
      </c>
      <c r="F81" t="b">
        <v>1</v>
      </c>
      <c r="G81" t="str">
        <f>HYPERLINK("https://www.google.com/maps/search/?api=1&amp;query=24.83051913,46.57855565", "View Map")</f>
        <v>View Map</v>
      </c>
    </row>
    <row r="82" spans="1:7" x14ac:dyDescent="0.3">
      <c r="A82" t="s">
        <v>148</v>
      </c>
      <c r="B82" t="s">
        <v>149</v>
      </c>
      <c r="C82" t="s">
        <v>9</v>
      </c>
      <c r="D82" t="s">
        <v>10</v>
      </c>
      <c r="E82">
        <v>2632</v>
      </c>
      <c r="F82" t="b">
        <v>1</v>
      </c>
      <c r="G82" t="str">
        <f>HYPERLINK("https://www.google.com/maps/search/?api=1&amp;query=24.80658817,46.62264935", "View Map")</f>
        <v>View Map</v>
      </c>
    </row>
    <row r="83" spans="1:7" x14ac:dyDescent="0.3">
      <c r="A83" t="s">
        <v>150</v>
      </c>
      <c r="B83" t="s">
        <v>151</v>
      </c>
      <c r="C83" t="s">
        <v>9</v>
      </c>
      <c r="D83" t="s">
        <v>10</v>
      </c>
      <c r="E83">
        <v>2622</v>
      </c>
      <c r="F83" t="b">
        <v>1</v>
      </c>
      <c r="G83" t="str">
        <f>HYPERLINK("https://www.google.com/maps/search/?api=1&amp;query=24.63105049,46.7143999", "View Map")</f>
        <v>View Map</v>
      </c>
    </row>
    <row r="84" spans="1:7" x14ac:dyDescent="0.3">
      <c r="A84" t="s">
        <v>152</v>
      </c>
      <c r="B84" t="s">
        <v>153</v>
      </c>
      <c r="C84" t="s">
        <v>9</v>
      </c>
      <c r="D84" t="s">
        <v>154</v>
      </c>
      <c r="E84">
        <v>2607</v>
      </c>
      <c r="F84" t="b">
        <v>1</v>
      </c>
      <c r="G84" t="str">
        <f>HYPERLINK("https://www.google.com/maps/search/?api=1&amp;query=24.6742582,46.75742232", "View Map")</f>
        <v>View Map</v>
      </c>
    </row>
    <row r="85" spans="1:7" x14ac:dyDescent="0.3">
      <c r="A85" t="s">
        <v>155</v>
      </c>
      <c r="B85" t="s">
        <v>156</v>
      </c>
      <c r="C85" t="s">
        <v>9</v>
      </c>
      <c r="D85" t="s">
        <v>10</v>
      </c>
      <c r="E85">
        <v>2574</v>
      </c>
      <c r="F85" t="b">
        <v>1</v>
      </c>
      <c r="G85" t="str">
        <f>HYPERLINK("https://www.google.com/maps/search/?api=1&amp;query=24.61106184,46.74747155", "View Map")</f>
        <v>View Map</v>
      </c>
    </row>
    <row r="86" spans="1:7" x14ac:dyDescent="0.3">
      <c r="A86" t="s">
        <v>157</v>
      </c>
      <c r="B86" t="s">
        <v>158</v>
      </c>
      <c r="C86" t="s">
        <v>9</v>
      </c>
      <c r="D86" t="s">
        <v>10</v>
      </c>
      <c r="E86">
        <v>2545</v>
      </c>
      <c r="F86" t="b">
        <v>1</v>
      </c>
      <c r="G86" t="str">
        <f>HYPERLINK("https://www.google.com/maps/search/?api=1&amp;query=24.8157958,46.79362523", "View Map")</f>
        <v>View Map</v>
      </c>
    </row>
    <row r="87" spans="1:7" x14ac:dyDescent="0.3">
      <c r="A87" t="s">
        <v>159</v>
      </c>
      <c r="B87" t="s">
        <v>160</v>
      </c>
      <c r="C87" t="s">
        <v>9</v>
      </c>
      <c r="D87" t="s">
        <v>10</v>
      </c>
      <c r="E87">
        <v>2519</v>
      </c>
      <c r="F87" t="b">
        <v>1</v>
      </c>
      <c r="G87" t="str">
        <f>HYPERLINK("https://www.google.com/maps/search/?api=1&amp;query=24.52771284,46.6906314", "View Map")</f>
        <v>View Map</v>
      </c>
    </row>
    <row r="88" spans="1:7" x14ac:dyDescent="0.3">
      <c r="A88" t="s">
        <v>161</v>
      </c>
      <c r="B88" t="s">
        <v>162</v>
      </c>
      <c r="C88" t="s">
        <v>9</v>
      </c>
      <c r="D88" t="s">
        <v>10</v>
      </c>
      <c r="E88">
        <v>2517</v>
      </c>
      <c r="F88" t="b">
        <v>1</v>
      </c>
      <c r="G88" t="str">
        <f>HYPERLINK("https://www.google.com/maps/search/?api=1&amp;query=24.60363978,46.6584658", "View Map")</f>
        <v>View Map</v>
      </c>
    </row>
    <row r="89" spans="1:7" x14ac:dyDescent="0.3">
      <c r="A89" t="s">
        <v>27</v>
      </c>
      <c r="B89" t="s">
        <v>163</v>
      </c>
      <c r="C89" t="s">
        <v>72</v>
      </c>
      <c r="D89" t="s">
        <v>10</v>
      </c>
      <c r="E89">
        <v>2489</v>
      </c>
      <c r="F89" t="b">
        <v>1</v>
      </c>
      <c r="G89" t="str">
        <f>HYPERLINK("https://www.google.com/maps/search/?api=1&amp;query=24.8244511,46.56413091", "View Map")</f>
        <v>View Map</v>
      </c>
    </row>
    <row r="90" spans="1:7" x14ac:dyDescent="0.3">
      <c r="A90" t="s">
        <v>27</v>
      </c>
      <c r="B90" t="s">
        <v>164</v>
      </c>
      <c r="C90" t="s">
        <v>9</v>
      </c>
      <c r="D90" t="s">
        <v>10</v>
      </c>
      <c r="E90">
        <v>2487</v>
      </c>
      <c r="F90" t="b">
        <v>1</v>
      </c>
      <c r="G90" t="str">
        <f>HYPERLINK("https://www.google.com/maps/search/?api=1&amp;query=24.84802253,46.78672859", "View Map")</f>
        <v>View Map</v>
      </c>
    </row>
    <row r="91" spans="1:7" x14ac:dyDescent="0.3">
      <c r="A91" t="s">
        <v>165</v>
      </c>
      <c r="B91" t="s">
        <v>166</v>
      </c>
      <c r="C91" t="s">
        <v>9</v>
      </c>
      <c r="D91" t="s">
        <v>10</v>
      </c>
      <c r="E91">
        <v>2475</v>
      </c>
      <c r="F91" t="b">
        <v>1</v>
      </c>
      <c r="G91" t="str">
        <f>HYPERLINK("https://www.google.com/maps/search/?api=1&amp;query=24.72108914,46.85436542", "View Map")</f>
        <v>View Map</v>
      </c>
    </row>
    <row r="92" spans="1:7" x14ac:dyDescent="0.3">
      <c r="A92" t="s">
        <v>167</v>
      </c>
      <c r="B92" t="s">
        <v>168</v>
      </c>
      <c r="C92" t="s">
        <v>9</v>
      </c>
      <c r="D92" t="s">
        <v>10</v>
      </c>
      <c r="E92">
        <v>2446</v>
      </c>
      <c r="F92" t="b">
        <v>1</v>
      </c>
      <c r="G92" t="str">
        <f>HYPERLINK("https://www.google.com/maps/search/?api=1&amp;query=24.87572,46.58971", "View Map")</f>
        <v>View Map</v>
      </c>
    </row>
    <row r="93" spans="1:7" x14ac:dyDescent="0.3">
      <c r="A93" t="s">
        <v>27</v>
      </c>
      <c r="B93" t="s">
        <v>169</v>
      </c>
      <c r="C93" t="s">
        <v>9</v>
      </c>
      <c r="D93" t="s">
        <v>10</v>
      </c>
      <c r="E93">
        <v>2441</v>
      </c>
      <c r="F93" t="b">
        <v>1</v>
      </c>
      <c r="G93" t="str">
        <f>HYPERLINK("https://www.google.com/maps/search/?api=1&amp;query=24.56362419,46.80326295", "View Map")</f>
        <v>View Map</v>
      </c>
    </row>
    <row r="94" spans="1:7" x14ac:dyDescent="0.3">
      <c r="A94" t="s">
        <v>170</v>
      </c>
      <c r="B94" t="s">
        <v>171</v>
      </c>
      <c r="C94" t="s">
        <v>9</v>
      </c>
      <c r="D94" t="s">
        <v>10</v>
      </c>
      <c r="E94">
        <v>2440</v>
      </c>
      <c r="F94" t="b">
        <v>1</v>
      </c>
      <c r="G94" t="str">
        <f>HYPERLINK("https://www.google.com/maps/search/?api=1&amp;query=24.68184014,46.71961591", "View Map")</f>
        <v>View Map</v>
      </c>
    </row>
    <row r="95" spans="1:7" x14ac:dyDescent="0.3">
      <c r="A95" t="s">
        <v>172</v>
      </c>
      <c r="B95" t="s">
        <v>173</v>
      </c>
      <c r="C95" t="s">
        <v>9</v>
      </c>
      <c r="D95" t="s">
        <v>154</v>
      </c>
      <c r="E95">
        <v>2424</v>
      </c>
      <c r="F95" t="b">
        <v>1</v>
      </c>
      <c r="G95" t="str">
        <f>HYPERLINK("https://www.google.com/maps/search/?api=1&amp;query=24.707473,46.696697", "View Map")</f>
        <v>View Map</v>
      </c>
    </row>
    <row r="96" spans="1:7" x14ac:dyDescent="0.3">
      <c r="A96" t="s">
        <v>174</v>
      </c>
      <c r="B96" t="s">
        <v>175</v>
      </c>
      <c r="C96" t="s">
        <v>9</v>
      </c>
      <c r="D96" t="s">
        <v>10</v>
      </c>
      <c r="E96">
        <v>2424</v>
      </c>
      <c r="F96" t="b">
        <v>1</v>
      </c>
      <c r="G96" t="str">
        <f>HYPERLINK("https://www.google.com/maps/search/?api=1&amp;query=24.66912039,46.86116075", "View Map")</f>
        <v>View Map</v>
      </c>
    </row>
    <row r="97" spans="1:7" x14ac:dyDescent="0.3">
      <c r="A97" t="s">
        <v>176</v>
      </c>
      <c r="B97" t="s">
        <v>177</v>
      </c>
      <c r="C97" t="s">
        <v>9</v>
      </c>
      <c r="D97" t="s">
        <v>10</v>
      </c>
      <c r="E97">
        <v>2417</v>
      </c>
      <c r="F97" t="b">
        <v>1</v>
      </c>
      <c r="G97" t="str">
        <f>HYPERLINK("https://www.google.com/maps/search/?api=1&amp;query=24.66598522,46.7009511", "View Map")</f>
        <v>View Map</v>
      </c>
    </row>
    <row r="98" spans="1:7" x14ac:dyDescent="0.3">
      <c r="A98" t="s">
        <v>178</v>
      </c>
      <c r="B98" t="s">
        <v>179</v>
      </c>
      <c r="C98" t="s">
        <v>9</v>
      </c>
      <c r="D98" t="s">
        <v>10</v>
      </c>
      <c r="E98">
        <v>2403</v>
      </c>
      <c r="F98" t="b">
        <v>1</v>
      </c>
      <c r="G98" t="str">
        <f>HYPERLINK("https://www.google.com/maps/search/?api=1&amp;query=24.69646524,46.78867533", "View Map")</f>
        <v>View Map</v>
      </c>
    </row>
    <row r="99" spans="1:7" x14ac:dyDescent="0.3">
      <c r="A99" t="s">
        <v>180</v>
      </c>
      <c r="B99" t="s">
        <v>181</v>
      </c>
      <c r="C99" t="s">
        <v>9</v>
      </c>
      <c r="D99" t="s">
        <v>10</v>
      </c>
      <c r="E99">
        <v>2370</v>
      </c>
      <c r="F99" t="b">
        <v>1</v>
      </c>
      <c r="G99" t="str">
        <f>HYPERLINK("https://www.google.com/maps/search/?api=1&amp;query=24.75026011,46.67943946", "View Map")</f>
        <v>View Map</v>
      </c>
    </row>
    <row r="100" spans="1:7" x14ac:dyDescent="0.3">
      <c r="A100" t="s">
        <v>182</v>
      </c>
      <c r="B100" t="s">
        <v>183</v>
      </c>
      <c r="C100" t="s">
        <v>9</v>
      </c>
      <c r="D100" t="s">
        <v>10</v>
      </c>
      <c r="E100">
        <v>2359</v>
      </c>
      <c r="F100" t="b">
        <v>1</v>
      </c>
      <c r="G100" t="str">
        <f>HYPERLINK("https://www.google.com/maps/search/?api=1&amp;query=24.59857647,46.77267912", "View Map")</f>
        <v>View Map</v>
      </c>
    </row>
    <row r="101" spans="1:7" x14ac:dyDescent="0.3">
      <c r="A101" t="s">
        <v>184</v>
      </c>
      <c r="B101" t="s">
        <v>185</v>
      </c>
      <c r="C101" t="s">
        <v>9</v>
      </c>
      <c r="D101" t="s">
        <v>10</v>
      </c>
      <c r="E101">
        <v>2355</v>
      </c>
      <c r="F101" t="b">
        <v>1</v>
      </c>
      <c r="G101" t="str">
        <f>HYPERLINK("https://www.google.com/maps/search/?api=1&amp;query=24.68439801,46.66427217", "View Map")</f>
        <v>View Map</v>
      </c>
    </row>
    <row r="102" spans="1:7" x14ac:dyDescent="0.3">
      <c r="A102" t="s">
        <v>186</v>
      </c>
      <c r="B102" t="s">
        <v>187</v>
      </c>
      <c r="C102" t="s">
        <v>9</v>
      </c>
      <c r="D102" t="s">
        <v>10</v>
      </c>
      <c r="E102">
        <v>2347</v>
      </c>
      <c r="F102" t="b">
        <v>1</v>
      </c>
      <c r="G102" t="str">
        <f>HYPERLINK("https://www.google.com/maps/search/?api=1&amp;query=24.791792,46.65668941", "View Map")</f>
        <v>View Map</v>
      </c>
    </row>
    <row r="103" spans="1:7" x14ac:dyDescent="0.3">
      <c r="A103" t="s">
        <v>188</v>
      </c>
      <c r="B103" t="s">
        <v>189</v>
      </c>
      <c r="C103" t="s">
        <v>9</v>
      </c>
      <c r="D103" t="s">
        <v>10</v>
      </c>
      <c r="E103">
        <v>2346</v>
      </c>
      <c r="F103" t="b">
        <v>1</v>
      </c>
      <c r="G103" t="str">
        <f>HYPERLINK("https://www.google.com/maps/search/?api=1&amp;query=24.6585166,46.80513643", "View Map")</f>
        <v>View Map</v>
      </c>
    </row>
    <row r="104" spans="1:7" x14ac:dyDescent="0.3">
      <c r="A104" t="s">
        <v>190</v>
      </c>
      <c r="B104" t="s">
        <v>191</v>
      </c>
      <c r="C104" t="s">
        <v>9</v>
      </c>
      <c r="D104" t="s">
        <v>10</v>
      </c>
      <c r="E104">
        <v>2334</v>
      </c>
      <c r="F104" t="b">
        <v>1</v>
      </c>
      <c r="G104" t="str">
        <f>HYPERLINK("https://www.google.com/maps/search/?api=1&amp;query=24.78268175,46.70087355", "View Map")</f>
        <v>View Map</v>
      </c>
    </row>
    <row r="105" spans="1:7" x14ac:dyDescent="0.3">
      <c r="A105" t="s">
        <v>192</v>
      </c>
      <c r="B105" t="s">
        <v>193</v>
      </c>
      <c r="C105" t="s">
        <v>9</v>
      </c>
      <c r="D105" t="s">
        <v>10</v>
      </c>
      <c r="E105">
        <v>2333</v>
      </c>
      <c r="F105" t="b">
        <v>1</v>
      </c>
      <c r="G105" t="str">
        <f>HYPERLINK("https://www.google.com/maps/search/?api=1&amp;query=24.56028075,46.76468396", "View Map")</f>
        <v>View Map</v>
      </c>
    </row>
    <row r="106" spans="1:7" x14ac:dyDescent="0.3">
      <c r="A106" t="s">
        <v>194</v>
      </c>
      <c r="B106" t="s">
        <v>195</v>
      </c>
      <c r="C106" t="s">
        <v>9</v>
      </c>
      <c r="D106" t="s">
        <v>10</v>
      </c>
      <c r="E106">
        <v>2322</v>
      </c>
      <c r="F106" t="b">
        <v>1</v>
      </c>
      <c r="G106" t="str">
        <f>HYPERLINK("https://www.google.com/maps/search/?api=1&amp;query=24.75061791,46.76832507", "View Map")</f>
        <v>View Map</v>
      </c>
    </row>
    <row r="107" spans="1:7" x14ac:dyDescent="0.3">
      <c r="A107" t="s">
        <v>27</v>
      </c>
      <c r="B107" t="s">
        <v>196</v>
      </c>
      <c r="C107" t="s">
        <v>72</v>
      </c>
      <c r="D107" t="s">
        <v>10</v>
      </c>
      <c r="E107">
        <v>2312</v>
      </c>
      <c r="F107" t="b">
        <v>1</v>
      </c>
      <c r="G107" t="str">
        <f>HYPERLINK("https://www.google.com/maps/search/?api=1&amp;query=24.79095,46.57925", "View Map")</f>
        <v>View Map</v>
      </c>
    </row>
    <row r="108" spans="1:7" x14ac:dyDescent="0.3">
      <c r="A108" t="s">
        <v>197</v>
      </c>
      <c r="B108" t="s">
        <v>198</v>
      </c>
      <c r="C108" t="s">
        <v>72</v>
      </c>
      <c r="D108" t="s">
        <v>10</v>
      </c>
      <c r="E108">
        <v>2297</v>
      </c>
      <c r="F108" t="b">
        <v>1</v>
      </c>
      <c r="G108" t="str">
        <f>HYPERLINK("https://www.google.com/maps/search/?api=1&amp;query=24.74555352,46.574474", "View Map")</f>
        <v>View Map</v>
      </c>
    </row>
    <row r="109" spans="1:7" x14ac:dyDescent="0.3">
      <c r="A109" t="s">
        <v>199</v>
      </c>
      <c r="B109" t="s">
        <v>200</v>
      </c>
      <c r="C109" t="s">
        <v>9</v>
      </c>
      <c r="D109" t="s">
        <v>10</v>
      </c>
      <c r="E109">
        <v>2291</v>
      </c>
      <c r="F109" t="b">
        <v>1</v>
      </c>
      <c r="G109" t="str">
        <f>HYPERLINK("https://www.google.com/maps/search/?api=1&amp;query=24.61438633,46.71976303", "View Map")</f>
        <v>View Map</v>
      </c>
    </row>
    <row r="110" spans="1:7" x14ac:dyDescent="0.3">
      <c r="A110" t="s">
        <v>201</v>
      </c>
      <c r="B110" t="s">
        <v>202</v>
      </c>
      <c r="C110" t="s">
        <v>72</v>
      </c>
      <c r="D110" t="s">
        <v>10</v>
      </c>
      <c r="E110">
        <v>2276</v>
      </c>
      <c r="F110" t="b">
        <v>1</v>
      </c>
      <c r="G110" t="str">
        <f>HYPERLINK("https://www.google.com/maps/search/?api=1&amp;query=24.76002407,46.57250774", "View Map")</f>
        <v>View Map</v>
      </c>
    </row>
    <row r="111" spans="1:7" x14ac:dyDescent="0.3">
      <c r="A111" t="s">
        <v>203</v>
      </c>
      <c r="B111" t="s">
        <v>204</v>
      </c>
      <c r="C111" t="s">
        <v>9</v>
      </c>
      <c r="D111" t="s">
        <v>10</v>
      </c>
      <c r="E111">
        <v>2271</v>
      </c>
      <c r="F111" t="b">
        <v>1</v>
      </c>
      <c r="G111" t="str">
        <f>HYPERLINK("https://www.google.com/maps/search/?api=1&amp;query=24.6798632,46.71079373", "View Map")</f>
        <v>View Map</v>
      </c>
    </row>
    <row r="112" spans="1:7" x14ac:dyDescent="0.3">
      <c r="A112" t="s">
        <v>205</v>
      </c>
      <c r="B112" t="s">
        <v>206</v>
      </c>
      <c r="C112" t="s">
        <v>9</v>
      </c>
      <c r="D112" t="s">
        <v>154</v>
      </c>
      <c r="E112">
        <v>2260</v>
      </c>
      <c r="F112" t="b">
        <v>1</v>
      </c>
      <c r="G112" t="str">
        <f>HYPERLINK("https://www.google.com/maps/search/?api=1&amp;query=24.4094,46.8456", "View Map")</f>
        <v>View Map</v>
      </c>
    </row>
    <row r="113" spans="1:7" x14ac:dyDescent="0.3">
      <c r="A113" t="s">
        <v>207</v>
      </c>
      <c r="B113" t="s">
        <v>208</v>
      </c>
      <c r="C113" t="s">
        <v>9</v>
      </c>
      <c r="D113" t="s">
        <v>10</v>
      </c>
      <c r="E113">
        <v>2257</v>
      </c>
      <c r="F113" t="b">
        <v>1</v>
      </c>
      <c r="G113" t="str">
        <f>HYPERLINK("https://www.google.com/maps/search/?api=1&amp;query=24.78932199,46.76853061", "View Map")</f>
        <v>View Map</v>
      </c>
    </row>
    <row r="114" spans="1:7" x14ac:dyDescent="0.3">
      <c r="A114" t="s">
        <v>209</v>
      </c>
      <c r="B114" t="s">
        <v>210</v>
      </c>
      <c r="C114" t="s">
        <v>9</v>
      </c>
      <c r="D114" t="s">
        <v>10</v>
      </c>
      <c r="E114">
        <v>2239</v>
      </c>
      <c r="F114" t="b">
        <v>1</v>
      </c>
      <c r="G114" t="str">
        <f>HYPERLINK("https://www.google.com/maps/search/?api=1&amp;query=24.76100008,46.77698716", "View Map")</f>
        <v>View Map</v>
      </c>
    </row>
    <row r="115" spans="1:7" x14ac:dyDescent="0.3">
      <c r="A115" t="s">
        <v>211</v>
      </c>
      <c r="B115" t="s">
        <v>212</v>
      </c>
      <c r="C115" t="s">
        <v>9</v>
      </c>
      <c r="D115" t="s">
        <v>10</v>
      </c>
      <c r="E115">
        <v>2228</v>
      </c>
      <c r="F115" t="b">
        <v>0</v>
      </c>
      <c r="G115" t="str">
        <f>HYPERLINK("https://www.google.com/maps/search/?api=1&amp;query=24.71939877,46.85284179", "View Map")</f>
        <v>View Map</v>
      </c>
    </row>
    <row r="116" spans="1:7" x14ac:dyDescent="0.3">
      <c r="A116" t="s">
        <v>213</v>
      </c>
      <c r="B116" t="s">
        <v>214</v>
      </c>
      <c r="C116" t="s">
        <v>9</v>
      </c>
      <c r="D116" t="s">
        <v>10</v>
      </c>
      <c r="E116">
        <v>2205</v>
      </c>
      <c r="F116" t="b">
        <v>1</v>
      </c>
      <c r="G116" t="str">
        <f>HYPERLINK("https://www.google.com/maps/search/?api=1&amp;query=24.73271,46.65093", "View Map")</f>
        <v>View Map</v>
      </c>
    </row>
    <row r="117" spans="1:7" x14ac:dyDescent="0.3">
      <c r="A117" t="s">
        <v>215</v>
      </c>
      <c r="B117" t="s">
        <v>216</v>
      </c>
      <c r="C117" t="s">
        <v>9</v>
      </c>
      <c r="D117" t="s">
        <v>10</v>
      </c>
      <c r="E117">
        <v>2203</v>
      </c>
      <c r="F117" t="b">
        <v>1</v>
      </c>
      <c r="G117" t="str">
        <f>HYPERLINK("https://www.google.com/maps/search/?api=1&amp;query=24.57247204,46.61897024", "View Map")</f>
        <v>View Map</v>
      </c>
    </row>
    <row r="118" spans="1:7" x14ac:dyDescent="0.3">
      <c r="A118" t="s">
        <v>217</v>
      </c>
      <c r="B118" t="s">
        <v>218</v>
      </c>
      <c r="C118" t="s">
        <v>9</v>
      </c>
      <c r="D118" t="s">
        <v>10</v>
      </c>
      <c r="E118">
        <v>2196</v>
      </c>
      <c r="F118" t="b">
        <v>1</v>
      </c>
      <c r="G118" t="str">
        <f>HYPERLINK("https://www.google.com/maps/search/?api=1&amp;query=24.63693425,46.66294383", "View Map")</f>
        <v>View Map</v>
      </c>
    </row>
    <row r="119" spans="1:7" x14ac:dyDescent="0.3">
      <c r="A119" t="s">
        <v>219</v>
      </c>
      <c r="B119" t="s">
        <v>220</v>
      </c>
      <c r="C119" t="s">
        <v>9</v>
      </c>
      <c r="D119" t="s">
        <v>10</v>
      </c>
      <c r="E119">
        <v>2171</v>
      </c>
      <c r="F119" t="b">
        <v>1</v>
      </c>
      <c r="G119" t="str">
        <f>HYPERLINK("https://www.google.com/maps/search/?api=1&amp;query=24.58333482,46.77321823", "View Map")</f>
        <v>View Map</v>
      </c>
    </row>
    <row r="120" spans="1:7" x14ac:dyDescent="0.3">
      <c r="A120" t="s">
        <v>221</v>
      </c>
      <c r="B120" t="s">
        <v>222</v>
      </c>
      <c r="C120" t="s">
        <v>9</v>
      </c>
      <c r="D120" t="s">
        <v>10</v>
      </c>
      <c r="E120">
        <v>2158</v>
      </c>
      <c r="F120" t="b">
        <v>1</v>
      </c>
      <c r="G120" t="str">
        <f>HYPERLINK("https://www.google.com/maps/search/?api=1&amp;query=24.69664673,46.81679054", "View Map")</f>
        <v>View Map</v>
      </c>
    </row>
    <row r="121" spans="1:7" x14ac:dyDescent="0.3">
      <c r="A121" t="s">
        <v>223</v>
      </c>
      <c r="B121" t="s">
        <v>224</v>
      </c>
      <c r="C121" t="s">
        <v>9</v>
      </c>
      <c r="D121" t="s">
        <v>10</v>
      </c>
      <c r="E121">
        <v>2157</v>
      </c>
      <c r="F121" t="b">
        <v>1</v>
      </c>
      <c r="G121" t="str">
        <f>HYPERLINK("https://www.google.com/maps/search/?api=1&amp;query=24.7168156,46.84746171", "View Map")</f>
        <v>View Map</v>
      </c>
    </row>
    <row r="122" spans="1:7" x14ac:dyDescent="0.3">
      <c r="A122" t="s">
        <v>27</v>
      </c>
      <c r="B122" t="s">
        <v>225</v>
      </c>
      <c r="C122" t="s">
        <v>9</v>
      </c>
      <c r="D122" t="s">
        <v>10</v>
      </c>
      <c r="E122">
        <v>2132</v>
      </c>
      <c r="F122" t="b">
        <v>1</v>
      </c>
      <c r="G122" t="str">
        <f>HYPERLINK("https://www.google.com/maps/search/?api=1&amp;query=24.85091661,46.57664797", "View Map")</f>
        <v>View Map</v>
      </c>
    </row>
    <row r="123" spans="1:7" x14ac:dyDescent="0.3">
      <c r="A123" t="s">
        <v>226</v>
      </c>
      <c r="B123" t="s">
        <v>227</v>
      </c>
      <c r="C123" t="s">
        <v>9</v>
      </c>
      <c r="D123" t="s">
        <v>10</v>
      </c>
      <c r="E123">
        <v>2122</v>
      </c>
      <c r="F123" t="b">
        <v>1</v>
      </c>
      <c r="G123" t="str">
        <f>HYPERLINK("https://www.google.com/maps/search/?api=1&amp;query=24.75554387,46.78789353", "View Map")</f>
        <v>View Map</v>
      </c>
    </row>
    <row r="124" spans="1:7" x14ac:dyDescent="0.3">
      <c r="A124" t="s">
        <v>27</v>
      </c>
      <c r="B124" t="s">
        <v>228</v>
      </c>
      <c r="C124" t="s">
        <v>9</v>
      </c>
      <c r="D124" t="s">
        <v>10</v>
      </c>
      <c r="E124">
        <v>2114</v>
      </c>
      <c r="F124" t="b">
        <v>1</v>
      </c>
      <c r="G124" t="str">
        <f>HYPERLINK("https://www.google.com/maps/search/?api=1&amp;query=24.87214561,46.63960209", "View Map")</f>
        <v>View Map</v>
      </c>
    </row>
    <row r="125" spans="1:7" x14ac:dyDescent="0.3">
      <c r="A125" t="s">
        <v>229</v>
      </c>
      <c r="B125" t="s">
        <v>230</v>
      </c>
      <c r="C125" t="s">
        <v>9</v>
      </c>
      <c r="D125" t="s">
        <v>10</v>
      </c>
      <c r="E125">
        <v>2114</v>
      </c>
      <c r="F125" t="b">
        <v>1</v>
      </c>
      <c r="G125" t="str">
        <f>HYPERLINK("https://www.google.com/maps/search/?api=1&amp;query=24.76372004,46.82905062", "View Map")</f>
        <v>View Map</v>
      </c>
    </row>
    <row r="126" spans="1:7" x14ac:dyDescent="0.3">
      <c r="A126" t="s">
        <v>231</v>
      </c>
      <c r="B126" t="s">
        <v>232</v>
      </c>
      <c r="C126" t="s">
        <v>9</v>
      </c>
      <c r="D126" t="s">
        <v>10</v>
      </c>
      <c r="E126">
        <v>2112</v>
      </c>
      <c r="F126" t="b">
        <v>1</v>
      </c>
      <c r="G126" t="str">
        <f>HYPERLINK("https://www.google.com/maps/search/?api=1&amp;query=24.80106567,46.81345225", "View Map")</f>
        <v>View Map</v>
      </c>
    </row>
    <row r="127" spans="1:7" x14ac:dyDescent="0.3">
      <c r="A127" t="s">
        <v>27</v>
      </c>
      <c r="B127" t="s">
        <v>233</v>
      </c>
      <c r="C127" t="s">
        <v>9</v>
      </c>
      <c r="D127" t="s">
        <v>10</v>
      </c>
      <c r="E127">
        <v>2110</v>
      </c>
      <c r="F127" t="b">
        <v>1</v>
      </c>
      <c r="G127" t="str">
        <f>HYPERLINK("https://www.google.com/maps/search/?api=1&amp;query=24.74721,46.84946", "View Map")</f>
        <v>View Map</v>
      </c>
    </row>
    <row r="128" spans="1:7" x14ac:dyDescent="0.3">
      <c r="A128" t="s">
        <v>234</v>
      </c>
      <c r="B128" t="s">
        <v>235</v>
      </c>
      <c r="C128" t="s">
        <v>9</v>
      </c>
      <c r="D128" t="s">
        <v>10</v>
      </c>
      <c r="E128">
        <v>2102</v>
      </c>
      <c r="F128" t="b">
        <v>1</v>
      </c>
      <c r="G128" t="str">
        <f>HYPERLINK("https://www.google.com/maps/search/?api=1&amp;query=24.77342195,46.69107172", "View Map")</f>
        <v>View Map</v>
      </c>
    </row>
    <row r="129" spans="1:7" x14ac:dyDescent="0.3">
      <c r="A129" t="s">
        <v>236</v>
      </c>
      <c r="B129" t="s">
        <v>237</v>
      </c>
      <c r="C129" t="s">
        <v>9</v>
      </c>
      <c r="D129" t="s">
        <v>10</v>
      </c>
      <c r="E129">
        <v>2101</v>
      </c>
      <c r="F129" t="b">
        <v>1</v>
      </c>
      <c r="G129" t="str">
        <f>HYPERLINK("https://www.google.com/maps/search/?api=1&amp;query=24.81351193,46.63982027", "View Map")</f>
        <v>View Map</v>
      </c>
    </row>
    <row r="130" spans="1:7" x14ac:dyDescent="0.3">
      <c r="A130" t="s">
        <v>27</v>
      </c>
      <c r="B130" t="s">
        <v>238</v>
      </c>
      <c r="C130" t="s">
        <v>72</v>
      </c>
      <c r="D130" t="s">
        <v>10</v>
      </c>
      <c r="E130">
        <v>2090</v>
      </c>
      <c r="F130" t="b">
        <v>1</v>
      </c>
      <c r="G130" t="str">
        <f>HYPERLINK("https://www.google.com/maps/search/?api=1&amp;query=24.77072396,46.58629832", "View Map")</f>
        <v>View Map</v>
      </c>
    </row>
    <row r="131" spans="1:7" x14ac:dyDescent="0.3">
      <c r="A131" t="s">
        <v>194</v>
      </c>
      <c r="B131" t="s">
        <v>239</v>
      </c>
      <c r="C131" t="s">
        <v>9</v>
      </c>
      <c r="D131" t="s">
        <v>10</v>
      </c>
      <c r="E131">
        <v>2077</v>
      </c>
      <c r="F131" t="b">
        <v>1</v>
      </c>
      <c r="G131" t="str">
        <f>HYPERLINK("https://www.google.com/maps/search/?api=1&amp;query=24.81078765,46.74026016", "View Map")</f>
        <v>View Map</v>
      </c>
    </row>
    <row r="132" spans="1:7" x14ac:dyDescent="0.3">
      <c r="A132" t="s">
        <v>240</v>
      </c>
      <c r="B132" t="s">
        <v>241</v>
      </c>
      <c r="C132" t="s">
        <v>9</v>
      </c>
      <c r="D132" t="s">
        <v>10</v>
      </c>
      <c r="E132">
        <v>2070</v>
      </c>
      <c r="F132" t="b">
        <v>1</v>
      </c>
      <c r="G132" t="str">
        <f>HYPERLINK("https://www.google.com/maps/search/?api=1&amp;query=24.59613063,46.71067492", "View Map")</f>
        <v>View Map</v>
      </c>
    </row>
    <row r="133" spans="1:7" x14ac:dyDescent="0.3">
      <c r="A133" t="s">
        <v>242</v>
      </c>
      <c r="B133" t="s">
        <v>243</v>
      </c>
      <c r="C133" t="s">
        <v>9</v>
      </c>
      <c r="D133" t="s">
        <v>10</v>
      </c>
      <c r="E133">
        <v>2067</v>
      </c>
      <c r="F133" t="b">
        <v>1</v>
      </c>
      <c r="G133" t="str">
        <f>HYPERLINK("https://www.google.com/maps/search/?api=1&amp;query=24.58041158,46.67659749", "View Map")</f>
        <v>View Map</v>
      </c>
    </row>
    <row r="134" spans="1:7" x14ac:dyDescent="0.3">
      <c r="A134" t="s">
        <v>244</v>
      </c>
      <c r="B134" t="s">
        <v>245</v>
      </c>
      <c r="C134" t="s">
        <v>9</v>
      </c>
      <c r="D134" t="s">
        <v>10</v>
      </c>
      <c r="E134">
        <v>2062</v>
      </c>
      <c r="F134" t="b">
        <v>1</v>
      </c>
      <c r="G134" t="str">
        <f>HYPERLINK("https://www.google.com/maps/search/?api=1&amp;query=24.79033084,46.70312404", "View Map")</f>
        <v>View Map</v>
      </c>
    </row>
    <row r="135" spans="1:7" x14ac:dyDescent="0.3">
      <c r="A135" t="s">
        <v>27</v>
      </c>
      <c r="B135" t="s">
        <v>246</v>
      </c>
      <c r="C135" t="s">
        <v>9</v>
      </c>
      <c r="D135" t="s">
        <v>10</v>
      </c>
      <c r="E135">
        <v>2058</v>
      </c>
      <c r="F135" t="b">
        <v>1</v>
      </c>
      <c r="G135" t="str">
        <f>HYPERLINK("https://www.google.com/maps/search/?api=1&amp;query=24.81598812,46.72746", "View Map")</f>
        <v>View Map</v>
      </c>
    </row>
    <row r="136" spans="1:7" x14ac:dyDescent="0.3">
      <c r="A136" t="s">
        <v>27</v>
      </c>
      <c r="B136" t="s">
        <v>247</v>
      </c>
      <c r="C136" t="s">
        <v>9</v>
      </c>
      <c r="D136" t="s">
        <v>10</v>
      </c>
      <c r="E136">
        <v>2021</v>
      </c>
      <c r="F136" t="b">
        <v>1</v>
      </c>
      <c r="G136" t="str">
        <f>HYPERLINK("https://www.google.com/maps/search/?api=1&amp;query=24.79239619,46.58872121", "View Map")</f>
        <v>View Map</v>
      </c>
    </row>
    <row r="137" spans="1:7" x14ac:dyDescent="0.3">
      <c r="A137" t="s">
        <v>248</v>
      </c>
      <c r="B137" t="s">
        <v>249</v>
      </c>
      <c r="C137" t="s">
        <v>9</v>
      </c>
      <c r="D137" t="s">
        <v>10</v>
      </c>
      <c r="E137">
        <v>2019</v>
      </c>
      <c r="F137" t="b">
        <v>1</v>
      </c>
      <c r="G137" t="str">
        <f>HYPERLINK("https://www.google.com/maps/search/?api=1&amp;query=24.67988475,46.81956778", "View Map")</f>
        <v>View Map</v>
      </c>
    </row>
    <row r="138" spans="1:7" x14ac:dyDescent="0.3">
      <c r="A138" t="s">
        <v>250</v>
      </c>
      <c r="B138" t="s">
        <v>251</v>
      </c>
      <c r="C138" t="s">
        <v>9</v>
      </c>
      <c r="D138" t="s">
        <v>10</v>
      </c>
      <c r="E138">
        <v>2012</v>
      </c>
      <c r="F138" t="b">
        <v>1</v>
      </c>
      <c r="G138" t="str">
        <f>HYPERLINK("https://www.google.com/maps/search/?api=1&amp;query=24.55530165,46.8648805", "View Map")</f>
        <v>View Map</v>
      </c>
    </row>
    <row r="139" spans="1:7" x14ac:dyDescent="0.3">
      <c r="A139" t="s">
        <v>252</v>
      </c>
      <c r="B139" t="s">
        <v>253</v>
      </c>
      <c r="C139" t="s">
        <v>72</v>
      </c>
      <c r="D139" t="s">
        <v>10</v>
      </c>
      <c r="E139">
        <v>2011</v>
      </c>
      <c r="F139" t="b">
        <v>1</v>
      </c>
      <c r="G139" t="str">
        <f>HYPERLINK("https://www.google.com/maps/search/?api=1&amp;query=24.77658931,46.57349104", "View Map")</f>
        <v>View Map</v>
      </c>
    </row>
    <row r="140" spans="1:7" x14ac:dyDescent="0.3">
      <c r="A140" t="s">
        <v>254</v>
      </c>
      <c r="B140" t="s">
        <v>255</v>
      </c>
      <c r="C140" t="s">
        <v>9</v>
      </c>
      <c r="D140" t="s">
        <v>10</v>
      </c>
      <c r="E140">
        <v>1987</v>
      </c>
      <c r="F140" t="b">
        <v>1</v>
      </c>
      <c r="G140" t="str">
        <f>HYPERLINK("https://www.google.com/maps/search/?api=1&amp;query=24.82195567,46.77697875", "View Map")</f>
        <v>View Map</v>
      </c>
    </row>
    <row r="141" spans="1:7" x14ac:dyDescent="0.3">
      <c r="A141" t="s">
        <v>256</v>
      </c>
      <c r="B141" t="s">
        <v>257</v>
      </c>
      <c r="C141" t="s">
        <v>9</v>
      </c>
      <c r="D141" t="s">
        <v>10</v>
      </c>
      <c r="E141">
        <v>1986</v>
      </c>
      <c r="F141" t="b">
        <v>1</v>
      </c>
      <c r="G141" t="str">
        <f>HYPERLINK("https://www.google.com/maps/search/?api=1&amp;query=24.58993496,46.78168271", "View Map")</f>
        <v>View Map</v>
      </c>
    </row>
    <row r="142" spans="1:7" x14ac:dyDescent="0.3">
      <c r="A142" t="s">
        <v>27</v>
      </c>
      <c r="B142" t="s">
        <v>258</v>
      </c>
      <c r="C142" t="s">
        <v>9</v>
      </c>
      <c r="D142" t="s">
        <v>10</v>
      </c>
      <c r="E142">
        <v>1974</v>
      </c>
      <c r="F142" t="b">
        <v>1</v>
      </c>
      <c r="G142" t="str">
        <f>HYPERLINK("https://www.google.com/maps/search/?api=1&amp;query=24.8608,46.6494", "View Map")</f>
        <v>View Map</v>
      </c>
    </row>
    <row r="143" spans="1:7" x14ac:dyDescent="0.3">
      <c r="A143" t="s">
        <v>259</v>
      </c>
      <c r="B143" t="s">
        <v>260</v>
      </c>
      <c r="C143" t="s">
        <v>9</v>
      </c>
      <c r="D143" t="s">
        <v>10</v>
      </c>
      <c r="E143">
        <v>1960</v>
      </c>
      <c r="F143" t="b">
        <v>1</v>
      </c>
      <c r="G143" t="str">
        <f>HYPERLINK("https://www.google.com/maps/search/?api=1&amp;query=24.77025071,46.66617964", "View Map")</f>
        <v>View Map</v>
      </c>
    </row>
    <row r="144" spans="1:7" x14ac:dyDescent="0.3">
      <c r="A144" t="s">
        <v>27</v>
      </c>
      <c r="B144" t="s">
        <v>261</v>
      </c>
      <c r="C144" t="s">
        <v>9</v>
      </c>
      <c r="D144" t="s">
        <v>10</v>
      </c>
      <c r="E144">
        <v>1955</v>
      </c>
      <c r="F144" t="b">
        <v>1</v>
      </c>
      <c r="G144" t="str">
        <f>HYPERLINK("https://www.google.com/maps/search/?api=1&amp;query=24.83657073,46.74370043", "View Map")</f>
        <v>View Map</v>
      </c>
    </row>
    <row r="145" spans="1:7" x14ac:dyDescent="0.3">
      <c r="A145" t="s">
        <v>19</v>
      </c>
      <c r="B145" t="s">
        <v>262</v>
      </c>
      <c r="C145" t="s">
        <v>9</v>
      </c>
      <c r="D145" t="s">
        <v>10</v>
      </c>
      <c r="E145">
        <v>1949</v>
      </c>
      <c r="F145" t="b">
        <v>1</v>
      </c>
      <c r="G145" t="str">
        <f>HYPERLINK("https://www.google.com/maps/search/?api=1&amp;query=24.63850329,46.58642776", "View Map")</f>
        <v>View Map</v>
      </c>
    </row>
    <row r="146" spans="1:7" x14ac:dyDescent="0.3">
      <c r="A146" t="s">
        <v>263</v>
      </c>
      <c r="B146" t="s">
        <v>264</v>
      </c>
      <c r="C146" t="s">
        <v>9</v>
      </c>
      <c r="D146" t="s">
        <v>10</v>
      </c>
      <c r="E146">
        <v>1934</v>
      </c>
      <c r="F146" t="b">
        <v>1</v>
      </c>
      <c r="G146" t="str">
        <f>HYPERLINK("https://www.google.com/maps/search/?api=1&amp;query=24.8078,46.6183", "View Map")</f>
        <v>View Map</v>
      </c>
    </row>
    <row r="147" spans="1:7" x14ac:dyDescent="0.3">
      <c r="A147" t="s">
        <v>194</v>
      </c>
      <c r="B147" t="s">
        <v>265</v>
      </c>
      <c r="C147" t="s">
        <v>9</v>
      </c>
      <c r="D147" t="s">
        <v>10</v>
      </c>
      <c r="E147">
        <v>1932</v>
      </c>
      <c r="F147" t="b">
        <v>1</v>
      </c>
      <c r="G147" t="str">
        <f>HYPERLINK("https://www.google.com/maps/search/?api=1&amp;query=24.78065677,46.58766811", "View Map")</f>
        <v>View Map</v>
      </c>
    </row>
    <row r="148" spans="1:7" x14ac:dyDescent="0.3">
      <c r="A148" t="s">
        <v>266</v>
      </c>
      <c r="B148" t="s">
        <v>267</v>
      </c>
      <c r="C148" t="s">
        <v>9</v>
      </c>
      <c r="D148" t="s">
        <v>10</v>
      </c>
      <c r="E148">
        <v>1914</v>
      </c>
      <c r="F148" t="b">
        <v>1</v>
      </c>
      <c r="G148" t="str">
        <f>HYPERLINK("https://www.google.com/maps/search/?api=1&amp;query=24.67329557,46.7328561", "View Map")</f>
        <v>View Map</v>
      </c>
    </row>
    <row r="149" spans="1:7" x14ac:dyDescent="0.3">
      <c r="A149" t="s">
        <v>268</v>
      </c>
      <c r="B149" t="s">
        <v>269</v>
      </c>
      <c r="C149" t="s">
        <v>9</v>
      </c>
      <c r="D149" t="s">
        <v>10</v>
      </c>
      <c r="E149">
        <v>1900</v>
      </c>
      <c r="F149" t="b">
        <v>1</v>
      </c>
      <c r="G149" t="str">
        <f>HYPERLINK("https://www.google.com/maps/search/?api=1&amp;query=24.75029505,46.72127648", "View Map")</f>
        <v>View Map</v>
      </c>
    </row>
    <row r="150" spans="1:7" x14ac:dyDescent="0.3">
      <c r="A150" t="s">
        <v>27</v>
      </c>
      <c r="B150" t="s">
        <v>270</v>
      </c>
      <c r="C150" t="s">
        <v>9</v>
      </c>
      <c r="D150" t="s">
        <v>10</v>
      </c>
      <c r="E150">
        <v>1896</v>
      </c>
      <c r="F150" t="b">
        <v>1</v>
      </c>
      <c r="G150" t="str">
        <f>HYPERLINK("https://www.google.com/maps/search/?api=1&amp;query=24.79032223,46.59870231", "View Map")</f>
        <v>View Map</v>
      </c>
    </row>
    <row r="151" spans="1:7" x14ac:dyDescent="0.3">
      <c r="A151" t="s">
        <v>194</v>
      </c>
      <c r="B151" t="s">
        <v>271</v>
      </c>
      <c r="C151" t="s">
        <v>9</v>
      </c>
      <c r="D151" t="s">
        <v>10</v>
      </c>
      <c r="E151">
        <v>1886</v>
      </c>
      <c r="F151" t="b">
        <v>1</v>
      </c>
      <c r="G151" t="str">
        <f>HYPERLINK("https://www.google.com/maps/search/?api=1&amp;query=24.82608047,46.75326701", "View Map")</f>
        <v>View Map</v>
      </c>
    </row>
    <row r="152" spans="1:7" x14ac:dyDescent="0.3">
      <c r="A152" t="s">
        <v>27</v>
      </c>
      <c r="B152" t="s">
        <v>272</v>
      </c>
      <c r="C152" t="s">
        <v>9</v>
      </c>
      <c r="D152" t="s">
        <v>10</v>
      </c>
      <c r="E152">
        <v>1880</v>
      </c>
      <c r="F152" t="b">
        <v>1</v>
      </c>
      <c r="G152" t="str">
        <f>HYPERLINK("https://www.google.com/maps/search/?api=1&amp;query=24.89540143,46.61677811", "View Map")</f>
        <v>View Map</v>
      </c>
    </row>
    <row r="153" spans="1:7" x14ac:dyDescent="0.3">
      <c r="A153" t="s">
        <v>27</v>
      </c>
      <c r="B153" t="s">
        <v>273</v>
      </c>
      <c r="C153" t="s">
        <v>9</v>
      </c>
      <c r="D153" t="s">
        <v>10</v>
      </c>
      <c r="E153">
        <v>1878</v>
      </c>
      <c r="F153" t="b">
        <v>1</v>
      </c>
      <c r="G153" t="str">
        <f>HYPERLINK("https://www.google.com/maps/search/?api=1&amp;query=24.81079056,46.74341364", "View Map")</f>
        <v>View Map</v>
      </c>
    </row>
    <row r="154" spans="1:7" x14ac:dyDescent="0.3">
      <c r="A154" t="s">
        <v>274</v>
      </c>
      <c r="B154" t="s">
        <v>275</v>
      </c>
      <c r="C154" t="s">
        <v>9</v>
      </c>
      <c r="D154" t="s">
        <v>10</v>
      </c>
      <c r="E154">
        <v>1874</v>
      </c>
      <c r="F154" t="b">
        <v>1</v>
      </c>
      <c r="G154" t="str">
        <f>HYPERLINK("https://www.google.com/maps/search/?api=1&amp;query=24.39639471,46.83362787", "View Map")</f>
        <v>View Map</v>
      </c>
    </row>
    <row r="155" spans="1:7" x14ac:dyDescent="0.3">
      <c r="A155" t="s">
        <v>276</v>
      </c>
      <c r="B155" t="s">
        <v>277</v>
      </c>
      <c r="C155" t="s">
        <v>9</v>
      </c>
      <c r="D155" t="s">
        <v>10</v>
      </c>
      <c r="E155">
        <v>1870</v>
      </c>
      <c r="F155" t="b">
        <v>1</v>
      </c>
      <c r="G155" t="str">
        <f>HYPERLINK("https://www.google.com/maps/search/?api=1&amp;query=24.68061524,46.7845886", "View Map")</f>
        <v>View Map</v>
      </c>
    </row>
    <row r="156" spans="1:7" x14ac:dyDescent="0.3">
      <c r="A156" t="s">
        <v>278</v>
      </c>
      <c r="B156" t="s">
        <v>279</v>
      </c>
      <c r="C156" t="s">
        <v>9</v>
      </c>
      <c r="D156" t="s">
        <v>10</v>
      </c>
      <c r="E156">
        <v>1855</v>
      </c>
      <c r="F156" t="b">
        <v>1</v>
      </c>
      <c r="G156" t="str">
        <f>HYPERLINK("https://www.google.com/maps/search/?api=1&amp;query=24.77267282,46.75851137", "View Map")</f>
        <v>View Map</v>
      </c>
    </row>
    <row r="157" spans="1:7" x14ac:dyDescent="0.3">
      <c r="A157" t="s">
        <v>19</v>
      </c>
      <c r="B157" t="s">
        <v>280</v>
      </c>
      <c r="C157" t="s">
        <v>9</v>
      </c>
      <c r="D157" t="s">
        <v>10</v>
      </c>
      <c r="E157">
        <v>1853</v>
      </c>
      <c r="F157" t="b">
        <v>1</v>
      </c>
      <c r="G157" t="str">
        <f>HYPERLINK("https://www.google.com/maps/search/?api=1&amp;query=24.65968414,46.79532928", "View Map")</f>
        <v>View Map</v>
      </c>
    </row>
    <row r="158" spans="1:7" x14ac:dyDescent="0.3">
      <c r="A158" t="s">
        <v>281</v>
      </c>
      <c r="B158" t="s">
        <v>282</v>
      </c>
      <c r="C158" t="s">
        <v>9</v>
      </c>
      <c r="D158" t="s">
        <v>10</v>
      </c>
      <c r="E158">
        <v>1848</v>
      </c>
      <c r="F158" t="b">
        <v>1</v>
      </c>
      <c r="G158" t="str">
        <f>HYPERLINK("https://www.google.com/maps/search/?api=1&amp;query=24.67088702,46.74360874", "View Map")</f>
        <v>View Map</v>
      </c>
    </row>
    <row r="159" spans="1:7" x14ac:dyDescent="0.3">
      <c r="A159" t="s">
        <v>27</v>
      </c>
      <c r="B159" t="s">
        <v>283</v>
      </c>
      <c r="C159" t="s">
        <v>9</v>
      </c>
      <c r="D159" t="s">
        <v>10</v>
      </c>
      <c r="E159">
        <v>1843</v>
      </c>
      <c r="F159" t="b">
        <v>1</v>
      </c>
      <c r="G159" t="str">
        <f>HYPERLINK("https://www.google.com/maps/search/?api=1&amp;query=24.7251261,46.75134483", "View Map")</f>
        <v>View Map</v>
      </c>
    </row>
    <row r="160" spans="1:7" x14ac:dyDescent="0.3">
      <c r="A160" t="s">
        <v>284</v>
      </c>
      <c r="B160" t="s">
        <v>285</v>
      </c>
      <c r="C160" t="s">
        <v>9</v>
      </c>
      <c r="D160" t="s">
        <v>10</v>
      </c>
      <c r="E160">
        <v>1841</v>
      </c>
      <c r="F160" t="b">
        <v>1</v>
      </c>
      <c r="G160" t="str">
        <f>HYPERLINK("https://www.google.com/maps/search/?api=1&amp;query=24.68890721,46.77067909", "View Map")</f>
        <v>View Map</v>
      </c>
    </row>
    <row r="161" spans="1:7" x14ac:dyDescent="0.3">
      <c r="A161" t="s">
        <v>286</v>
      </c>
      <c r="B161" t="s">
        <v>287</v>
      </c>
      <c r="C161" t="s">
        <v>9</v>
      </c>
      <c r="D161" t="s">
        <v>10</v>
      </c>
      <c r="E161">
        <v>1815</v>
      </c>
      <c r="F161" t="b">
        <v>1</v>
      </c>
      <c r="G161" t="str">
        <f>HYPERLINK("https://www.google.com/maps/search/?api=1&amp;query=24.62418346,46.74383133", "View Map")</f>
        <v>View Map</v>
      </c>
    </row>
    <row r="162" spans="1:7" x14ac:dyDescent="0.3">
      <c r="A162" t="s">
        <v>288</v>
      </c>
      <c r="B162" t="s">
        <v>289</v>
      </c>
      <c r="C162" t="s">
        <v>9</v>
      </c>
      <c r="D162" t="s">
        <v>10</v>
      </c>
      <c r="E162">
        <v>1814</v>
      </c>
      <c r="F162" t="b">
        <v>1</v>
      </c>
      <c r="G162" t="str">
        <f>HYPERLINK("https://www.google.com/maps/search/?api=1&amp;query=24.6757,46.63011", "View Map")</f>
        <v>View Map</v>
      </c>
    </row>
    <row r="163" spans="1:7" x14ac:dyDescent="0.3">
      <c r="A163" t="s">
        <v>290</v>
      </c>
      <c r="B163" t="s">
        <v>291</v>
      </c>
      <c r="C163" t="s">
        <v>72</v>
      </c>
      <c r="D163" t="s">
        <v>10</v>
      </c>
      <c r="E163">
        <v>1796</v>
      </c>
      <c r="F163" t="b">
        <v>1</v>
      </c>
      <c r="G163" t="str">
        <f>HYPERLINK("https://www.google.com/maps/search/?api=1&amp;query=24.74883235,46.5738511", "View Map")</f>
        <v>View Map</v>
      </c>
    </row>
    <row r="164" spans="1:7" x14ac:dyDescent="0.3">
      <c r="A164" t="s">
        <v>292</v>
      </c>
      <c r="B164" t="s">
        <v>293</v>
      </c>
      <c r="C164" t="s">
        <v>9</v>
      </c>
      <c r="D164" t="s">
        <v>154</v>
      </c>
      <c r="E164">
        <v>1791</v>
      </c>
      <c r="F164" t="b">
        <v>1</v>
      </c>
      <c r="G164" t="str">
        <f>HYPERLINK("https://www.google.com/maps/search/?api=1&amp;query=24.82287554,46.8130742", "View Map")</f>
        <v>View Map</v>
      </c>
    </row>
    <row r="165" spans="1:7" x14ac:dyDescent="0.3">
      <c r="A165" t="s">
        <v>294</v>
      </c>
      <c r="B165" t="s">
        <v>295</v>
      </c>
      <c r="C165" t="s">
        <v>9</v>
      </c>
      <c r="D165" t="s">
        <v>10</v>
      </c>
      <c r="E165">
        <v>1788</v>
      </c>
      <c r="F165" t="b">
        <v>1</v>
      </c>
      <c r="G165" t="str">
        <f>HYPERLINK("https://www.google.com/maps/search/?api=1&amp;query=24.78883047,46.73059015", "View Map")</f>
        <v>View Map</v>
      </c>
    </row>
    <row r="166" spans="1:7" x14ac:dyDescent="0.3">
      <c r="A166" t="s">
        <v>159</v>
      </c>
      <c r="B166" t="s">
        <v>296</v>
      </c>
      <c r="C166" t="s">
        <v>9</v>
      </c>
      <c r="D166" t="s">
        <v>10</v>
      </c>
      <c r="E166">
        <v>1784</v>
      </c>
      <c r="F166" t="b">
        <v>1</v>
      </c>
      <c r="G166" t="str">
        <f>HYPERLINK("https://www.google.com/maps/search/?api=1&amp;query=24.68074,46.57364", "View Map")</f>
        <v>View Map</v>
      </c>
    </row>
    <row r="167" spans="1:7" x14ac:dyDescent="0.3">
      <c r="A167" t="s">
        <v>194</v>
      </c>
      <c r="B167" t="s">
        <v>297</v>
      </c>
      <c r="C167" t="s">
        <v>9</v>
      </c>
      <c r="D167" t="s">
        <v>10</v>
      </c>
      <c r="E167">
        <v>1778</v>
      </c>
      <c r="F167" t="b">
        <v>1</v>
      </c>
      <c r="G167" t="str">
        <f>HYPERLINK("https://www.google.com/maps/search/?api=1&amp;query=24.79307551,46.76440138", "View Map")</f>
        <v>View Map</v>
      </c>
    </row>
    <row r="168" spans="1:7" x14ac:dyDescent="0.3">
      <c r="A168" t="s">
        <v>298</v>
      </c>
      <c r="B168" t="s">
        <v>299</v>
      </c>
      <c r="C168" t="s">
        <v>9</v>
      </c>
      <c r="D168" t="s">
        <v>10</v>
      </c>
      <c r="E168">
        <v>1777</v>
      </c>
      <c r="F168" t="b">
        <v>1</v>
      </c>
      <c r="G168" t="str">
        <f>HYPERLINK("https://www.google.com/maps/search/?api=1&amp;query=24.7835667,46.71021498", "View Map")</f>
        <v>View Map</v>
      </c>
    </row>
    <row r="169" spans="1:7" x14ac:dyDescent="0.3">
      <c r="A169" t="s">
        <v>300</v>
      </c>
      <c r="B169" t="s">
        <v>301</v>
      </c>
      <c r="C169" t="s">
        <v>9</v>
      </c>
      <c r="D169" t="s">
        <v>10</v>
      </c>
      <c r="E169">
        <v>1777</v>
      </c>
      <c r="F169" t="b">
        <v>1</v>
      </c>
      <c r="G169" t="str">
        <f>HYPERLINK("https://www.google.com/maps/search/?api=1&amp;query=24.67519209,46.79597774", "View Map")</f>
        <v>View Map</v>
      </c>
    </row>
    <row r="170" spans="1:7" x14ac:dyDescent="0.3">
      <c r="A170" t="s">
        <v>159</v>
      </c>
      <c r="B170" t="s">
        <v>302</v>
      </c>
      <c r="C170" t="s">
        <v>9</v>
      </c>
      <c r="D170" t="s">
        <v>10</v>
      </c>
      <c r="E170">
        <v>1762</v>
      </c>
      <c r="F170" t="b">
        <v>1</v>
      </c>
      <c r="G170" t="str">
        <f>HYPERLINK("https://www.google.com/maps/search/?api=1&amp;query=24.6069,46.625", "View Map")</f>
        <v>View Map</v>
      </c>
    </row>
    <row r="171" spans="1:7" x14ac:dyDescent="0.3">
      <c r="A171" t="s">
        <v>303</v>
      </c>
      <c r="B171" t="s">
        <v>304</v>
      </c>
      <c r="C171" t="s">
        <v>9</v>
      </c>
      <c r="D171" t="s">
        <v>10</v>
      </c>
      <c r="E171">
        <v>1741</v>
      </c>
      <c r="F171" t="b">
        <v>1</v>
      </c>
      <c r="G171" t="str">
        <f>HYPERLINK("https://www.google.com/maps/search/?api=1&amp;query=24.54885924,46.86622893", "View Map")</f>
        <v>View Map</v>
      </c>
    </row>
    <row r="172" spans="1:7" x14ac:dyDescent="0.3">
      <c r="A172" t="s">
        <v>305</v>
      </c>
      <c r="B172" t="s">
        <v>306</v>
      </c>
      <c r="C172" t="s">
        <v>9</v>
      </c>
      <c r="D172" t="s">
        <v>10</v>
      </c>
      <c r="E172">
        <v>1740</v>
      </c>
      <c r="F172" t="b">
        <v>1</v>
      </c>
      <c r="G172" t="str">
        <f>HYPERLINK("https://www.google.com/maps/search/?api=1&amp;query=24.72327384,46.81496584", "View Map")</f>
        <v>View Map</v>
      </c>
    </row>
    <row r="173" spans="1:7" x14ac:dyDescent="0.3">
      <c r="A173" t="s">
        <v>307</v>
      </c>
      <c r="B173" t="s">
        <v>308</v>
      </c>
      <c r="C173" t="s">
        <v>9</v>
      </c>
      <c r="D173" t="s">
        <v>10</v>
      </c>
      <c r="E173">
        <v>1738</v>
      </c>
      <c r="F173" t="b">
        <v>1</v>
      </c>
      <c r="G173" t="str">
        <f>HYPERLINK("https://www.google.com/maps/search/?api=1&amp;query=24.8140633,46.80113044", "View Map")</f>
        <v>View Map</v>
      </c>
    </row>
    <row r="174" spans="1:7" x14ac:dyDescent="0.3">
      <c r="A174" t="s">
        <v>309</v>
      </c>
      <c r="B174" t="s">
        <v>310</v>
      </c>
      <c r="C174" t="s">
        <v>9</v>
      </c>
      <c r="D174" t="s">
        <v>10</v>
      </c>
      <c r="E174">
        <v>1738</v>
      </c>
      <c r="F174" t="b">
        <v>1</v>
      </c>
      <c r="G174" t="str">
        <f>HYPERLINK("https://www.google.com/maps/search/?api=1&amp;query=24.64905,46.68186", "View Map")</f>
        <v>View Map</v>
      </c>
    </row>
    <row r="175" spans="1:7" x14ac:dyDescent="0.3">
      <c r="A175" t="s">
        <v>311</v>
      </c>
      <c r="B175" t="s">
        <v>312</v>
      </c>
      <c r="C175" t="s">
        <v>9</v>
      </c>
      <c r="D175" t="s">
        <v>10</v>
      </c>
      <c r="E175">
        <v>1734</v>
      </c>
      <c r="F175" t="b">
        <v>1</v>
      </c>
      <c r="G175" t="str">
        <f>HYPERLINK("https://www.google.com/maps/search/?api=1&amp;query=24.63454616,46.68208697", "View Map")</f>
        <v>View Map</v>
      </c>
    </row>
    <row r="176" spans="1:7" x14ac:dyDescent="0.3">
      <c r="A176" t="s">
        <v>313</v>
      </c>
      <c r="B176" t="s">
        <v>314</v>
      </c>
      <c r="C176" t="s">
        <v>9</v>
      </c>
      <c r="D176" t="s">
        <v>10</v>
      </c>
      <c r="E176">
        <v>1721</v>
      </c>
      <c r="F176" t="b">
        <v>1</v>
      </c>
      <c r="G176" t="str">
        <f>HYPERLINK("https://www.google.com/maps/search/?api=1&amp;query=24.67994789,46.70623404", "View Map")</f>
        <v>View Map</v>
      </c>
    </row>
    <row r="177" spans="1:7" x14ac:dyDescent="0.3">
      <c r="A177" t="s">
        <v>315</v>
      </c>
      <c r="B177" t="s">
        <v>316</v>
      </c>
      <c r="C177" t="s">
        <v>9</v>
      </c>
      <c r="D177" t="s">
        <v>10</v>
      </c>
      <c r="E177">
        <v>1712</v>
      </c>
      <c r="F177" t="b">
        <v>1</v>
      </c>
      <c r="G177" t="str">
        <f>HYPERLINK("https://www.google.com/maps/search/?api=1&amp;query=24.80787682,46.86147383", "View Map")</f>
        <v>View Map</v>
      </c>
    </row>
    <row r="178" spans="1:7" x14ac:dyDescent="0.3">
      <c r="A178" t="s">
        <v>194</v>
      </c>
      <c r="B178" t="s">
        <v>317</v>
      </c>
      <c r="C178" t="s">
        <v>9</v>
      </c>
      <c r="D178" t="s">
        <v>10</v>
      </c>
      <c r="E178">
        <v>1706</v>
      </c>
      <c r="F178" t="b">
        <v>1</v>
      </c>
      <c r="G178" t="str">
        <f>HYPERLINK("https://www.google.com/maps/search/?api=1&amp;query=24.823577,46.734064", "View Map")</f>
        <v>View Map</v>
      </c>
    </row>
    <row r="179" spans="1:7" x14ac:dyDescent="0.3">
      <c r="A179" t="s">
        <v>318</v>
      </c>
      <c r="B179" t="s">
        <v>319</v>
      </c>
      <c r="C179" t="s">
        <v>9</v>
      </c>
      <c r="D179" t="s">
        <v>10</v>
      </c>
      <c r="E179">
        <v>1694</v>
      </c>
      <c r="F179" t="b">
        <v>1</v>
      </c>
      <c r="G179" t="str">
        <f>HYPERLINK("https://www.google.com/maps/search/?api=1&amp;query=24.68188405,46.68902352", "View Map")</f>
        <v>View Map</v>
      </c>
    </row>
    <row r="180" spans="1:7" x14ac:dyDescent="0.3">
      <c r="A180" t="s">
        <v>320</v>
      </c>
      <c r="B180" t="s">
        <v>321</v>
      </c>
      <c r="C180" t="s">
        <v>9</v>
      </c>
      <c r="D180" t="s">
        <v>10</v>
      </c>
      <c r="E180">
        <v>1687</v>
      </c>
      <c r="F180" t="b">
        <v>1</v>
      </c>
      <c r="G180" t="str">
        <f>HYPERLINK("https://www.google.com/maps/search/?api=1&amp;query=24.80553186,46.76491938", "View Map")</f>
        <v>View Map</v>
      </c>
    </row>
    <row r="181" spans="1:7" x14ac:dyDescent="0.3">
      <c r="A181" t="s">
        <v>322</v>
      </c>
      <c r="B181" t="s">
        <v>323</v>
      </c>
      <c r="C181" t="s">
        <v>72</v>
      </c>
      <c r="D181" t="s">
        <v>10</v>
      </c>
      <c r="E181">
        <v>1684</v>
      </c>
      <c r="F181" t="b">
        <v>1</v>
      </c>
      <c r="G181" t="str">
        <f>HYPERLINK("https://www.google.com/maps/search/?api=1&amp;query=24.73793,46.57923", "View Map")</f>
        <v>View Map</v>
      </c>
    </row>
    <row r="182" spans="1:7" x14ac:dyDescent="0.3">
      <c r="A182" t="s">
        <v>324</v>
      </c>
      <c r="B182" t="s">
        <v>325</v>
      </c>
      <c r="C182" t="s">
        <v>9</v>
      </c>
      <c r="D182" t="s">
        <v>10</v>
      </c>
      <c r="E182">
        <v>1678</v>
      </c>
      <c r="F182" t="b">
        <v>1</v>
      </c>
      <c r="G182" t="str">
        <f>HYPERLINK("https://www.google.com/maps/search/?api=1&amp;query=24.67626846,46.81616517", "View Map")</f>
        <v>View Map</v>
      </c>
    </row>
    <row r="183" spans="1:7" x14ac:dyDescent="0.3">
      <c r="A183" t="s">
        <v>27</v>
      </c>
      <c r="B183" t="s">
        <v>326</v>
      </c>
      <c r="C183" t="s">
        <v>9</v>
      </c>
      <c r="D183" t="s">
        <v>10</v>
      </c>
      <c r="E183">
        <v>1675</v>
      </c>
      <c r="F183" t="b">
        <v>1</v>
      </c>
      <c r="G183" t="str">
        <f>HYPERLINK("https://www.google.com/maps/search/?api=1&amp;query=24.85604,46.6519", "View Map")</f>
        <v>View Map</v>
      </c>
    </row>
    <row r="184" spans="1:7" x14ac:dyDescent="0.3">
      <c r="A184" t="s">
        <v>327</v>
      </c>
      <c r="B184" t="s">
        <v>328</v>
      </c>
      <c r="C184" t="s">
        <v>9</v>
      </c>
      <c r="D184" t="s">
        <v>10</v>
      </c>
      <c r="E184">
        <v>1671</v>
      </c>
      <c r="F184" t="b">
        <v>1</v>
      </c>
      <c r="G184" t="str">
        <f>HYPERLINK("https://www.google.com/maps/search/?api=1&amp;query=24.70415088,46.78257565", "View Map")</f>
        <v>View Map</v>
      </c>
    </row>
    <row r="185" spans="1:7" x14ac:dyDescent="0.3">
      <c r="A185" t="s">
        <v>329</v>
      </c>
      <c r="B185" t="s">
        <v>330</v>
      </c>
      <c r="C185" t="s">
        <v>9</v>
      </c>
      <c r="D185" t="s">
        <v>10</v>
      </c>
      <c r="E185">
        <v>1670</v>
      </c>
      <c r="F185" t="b">
        <v>1</v>
      </c>
      <c r="G185" t="str">
        <f>HYPERLINK("https://www.google.com/maps/search/?api=1&amp;query=24.70743241,46.7825186", "View Map")</f>
        <v>View Map</v>
      </c>
    </row>
    <row r="186" spans="1:7" x14ac:dyDescent="0.3">
      <c r="A186" t="s">
        <v>331</v>
      </c>
      <c r="B186" t="s">
        <v>332</v>
      </c>
      <c r="C186" t="s">
        <v>9</v>
      </c>
      <c r="D186" t="s">
        <v>10</v>
      </c>
      <c r="E186">
        <v>1669</v>
      </c>
      <c r="F186" t="b">
        <v>1</v>
      </c>
      <c r="G186" t="str">
        <f>HYPERLINK("https://www.google.com/maps/search/?api=1&amp;query=24.72772256,46.77760433", "View Map")</f>
        <v>View Map</v>
      </c>
    </row>
    <row r="187" spans="1:7" x14ac:dyDescent="0.3">
      <c r="A187" t="s">
        <v>333</v>
      </c>
      <c r="B187" t="s">
        <v>334</v>
      </c>
      <c r="C187" t="s">
        <v>9</v>
      </c>
      <c r="D187" t="s">
        <v>154</v>
      </c>
      <c r="E187">
        <v>1668</v>
      </c>
      <c r="F187" t="b">
        <v>1</v>
      </c>
      <c r="G187" t="str">
        <f>HYPERLINK("https://www.google.com/maps/search/?api=1&amp;query=24.57357787,46.75189298", "View Map")</f>
        <v>View Map</v>
      </c>
    </row>
    <row r="188" spans="1:7" x14ac:dyDescent="0.3">
      <c r="A188" t="s">
        <v>335</v>
      </c>
      <c r="B188" t="s">
        <v>336</v>
      </c>
      <c r="C188" t="s">
        <v>9</v>
      </c>
      <c r="D188" t="s">
        <v>10</v>
      </c>
      <c r="E188">
        <v>1665</v>
      </c>
      <c r="F188" t="b">
        <v>1</v>
      </c>
      <c r="G188" t="str">
        <f>HYPERLINK("https://www.google.com/maps/search/?api=1&amp;query=24.58363943,46.67838005", "View Map")</f>
        <v>View Map</v>
      </c>
    </row>
    <row r="189" spans="1:7" x14ac:dyDescent="0.3">
      <c r="A189" t="s">
        <v>19</v>
      </c>
      <c r="B189" t="s">
        <v>337</v>
      </c>
      <c r="C189" t="s">
        <v>9</v>
      </c>
      <c r="D189" t="s">
        <v>10</v>
      </c>
      <c r="E189">
        <v>1661</v>
      </c>
      <c r="F189" t="b">
        <v>1</v>
      </c>
      <c r="G189" t="str">
        <f>HYPERLINK("https://www.google.com/maps/search/?api=1&amp;query=24.68734844,46.56685804", "View Map")</f>
        <v>View Map</v>
      </c>
    </row>
    <row r="190" spans="1:7" x14ac:dyDescent="0.3">
      <c r="A190" t="s">
        <v>338</v>
      </c>
      <c r="B190" t="s">
        <v>339</v>
      </c>
      <c r="C190" t="s">
        <v>9</v>
      </c>
      <c r="D190" t="s">
        <v>10</v>
      </c>
      <c r="E190">
        <v>1656</v>
      </c>
      <c r="F190" t="b">
        <v>1</v>
      </c>
      <c r="G190" t="str">
        <f>HYPERLINK("https://www.google.com/maps/search/?api=1&amp;query=24.78245443,46.66026953", "View Map")</f>
        <v>View Map</v>
      </c>
    </row>
    <row r="191" spans="1:7" x14ac:dyDescent="0.3">
      <c r="A191" t="s">
        <v>219</v>
      </c>
      <c r="B191" t="s">
        <v>340</v>
      </c>
      <c r="C191" t="s">
        <v>9</v>
      </c>
      <c r="D191" t="s">
        <v>10</v>
      </c>
      <c r="E191">
        <v>1643</v>
      </c>
      <c r="F191" t="b">
        <v>1</v>
      </c>
      <c r="G191" t="str">
        <f>HYPERLINK("https://www.google.com/maps/search/?api=1&amp;query=24.58332673,46.77322263", "View Map")</f>
        <v>View Map</v>
      </c>
    </row>
    <row r="192" spans="1:7" x14ac:dyDescent="0.3">
      <c r="A192" t="s">
        <v>341</v>
      </c>
      <c r="B192" t="s">
        <v>342</v>
      </c>
      <c r="C192" t="s">
        <v>9</v>
      </c>
      <c r="D192" t="s">
        <v>10</v>
      </c>
      <c r="E192">
        <v>1637</v>
      </c>
      <c r="F192" t="b">
        <v>1</v>
      </c>
      <c r="G192" t="str">
        <f>HYPERLINK("https://www.google.com/maps/search/?api=1&amp;query=24.70531838,46.76942957", "View Map")</f>
        <v>View Map</v>
      </c>
    </row>
    <row r="193" spans="1:7" x14ac:dyDescent="0.3">
      <c r="A193" t="s">
        <v>27</v>
      </c>
      <c r="B193" t="s">
        <v>343</v>
      </c>
      <c r="C193" t="s">
        <v>72</v>
      </c>
      <c r="D193" t="s">
        <v>10</v>
      </c>
      <c r="E193">
        <v>1635</v>
      </c>
      <c r="F193" t="b">
        <v>1</v>
      </c>
      <c r="G193" t="str">
        <f>HYPERLINK("https://www.google.com/maps/search/?api=1&amp;query=24.77141234,46.58162402", "View Map")</f>
        <v>View Map</v>
      </c>
    </row>
    <row r="194" spans="1:7" x14ac:dyDescent="0.3">
      <c r="A194" t="s">
        <v>226</v>
      </c>
      <c r="B194" t="s">
        <v>344</v>
      </c>
      <c r="C194" t="s">
        <v>9</v>
      </c>
      <c r="D194" t="s">
        <v>10</v>
      </c>
      <c r="E194">
        <v>1632</v>
      </c>
      <c r="F194" t="b">
        <v>1</v>
      </c>
      <c r="G194" t="str">
        <f>HYPERLINK("https://www.google.com/maps/search/?api=1&amp;query=24.74873106,46.80280011", "View Map")</f>
        <v>View Map</v>
      </c>
    </row>
    <row r="195" spans="1:7" x14ac:dyDescent="0.3">
      <c r="A195" t="s">
        <v>345</v>
      </c>
      <c r="B195" t="s">
        <v>346</v>
      </c>
      <c r="C195" t="s">
        <v>9</v>
      </c>
      <c r="D195" t="s">
        <v>10</v>
      </c>
      <c r="E195">
        <v>1627</v>
      </c>
      <c r="F195" t="b">
        <v>1</v>
      </c>
      <c r="G195" t="str">
        <f>HYPERLINK("https://www.google.com/maps/search/?api=1&amp;query=24.67481433,46.64755393", "View Map")</f>
        <v>View Map</v>
      </c>
    </row>
    <row r="196" spans="1:7" x14ac:dyDescent="0.3">
      <c r="A196" t="s">
        <v>159</v>
      </c>
      <c r="B196" t="s">
        <v>347</v>
      </c>
      <c r="C196" t="s">
        <v>9</v>
      </c>
      <c r="D196" t="s">
        <v>10</v>
      </c>
      <c r="E196">
        <v>1623</v>
      </c>
      <c r="F196" t="b">
        <v>1</v>
      </c>
      <c r="G196" t="str">
        <f>HYPERLINK("https://www.google.com/maps/search/?api=1&amp;query=24.61477434,46.70980659", "View Map")</f>
        <v>View Map</v>
      </c>
    </row>
    <row r="197" spans="1:7" x14ac:dyDescent="0.3">
      <c r="A197" t="s">
        <v>348</v>
      </c>
      <c r="B197" t="s">
        <v>349</v>
      </c>
      <c r="C197" t="s">
        <v>9</v>
      </c>
      <c r="D197" t="s">
        <v>10</v>
      </c>
      <c r="E197">
        <v>1614</v>
      </c>
      <c r="F197" t="b">
        <v>1</v>
      </c>
      <c r="G197" t="str">
        <f>HYPERLINK("https://www.google.com/maps/search/?api=1&amp;query=24.60894509,46.74114648", "View Map")</f>
        <v>View Map</v>
      </c>
    </row>
    <row r="198" spans="1:7" x14ac:dyDescent="0.3">
      <c r="A198" t="s">
        <v>350</v>
      </c>
      <c r="B198" t="s">
        <v>351</v>
      </c>
      <c r="C198" t="s">
        <v>9</v>
      </c>
      <c r="D198" t="s">
        <v>154</v>
      </c>
      <c r="E198">
        <v>1614</v>
      </c>
      <c r="F198" t="b">
        <v>1</v>
      </c>
      <c r="G198" t="str">
        <f>HYPERLINK("https://www.google.com/maps/search/?api=1&amp;query=24.91030407,46.80917563", "View Map")</f>
        <v>View Map</v>
      </c>
    </row>
    <row r="199" spans="1:7" x14ac:dyDescent="0.3">
      <c r="A199" t="s">
        <v>352</v>
      </c>
      <c r="B199" t="s">
        <v>353</v>
      </c>
      <c r="C199" t="s">
        <v>9</v>
      </c>
      <c r="D199" t="s">
        <v>10</v>
      </c>
      <c r="E199">
        <v>1613</v>
      </c>
      <c r="F199" t="b">
        <v>1</v>
      </c>
      <c r="G199" t="str">
        <f>HYPERLINK("https://www.google.com/maps/search/?api=1&amp;query=24.57091572,46.66374636", "View Map")</f>
        <v>View Map</v>
      </c>
    </row>
    <row r="200" spans="1:7" x14ac:dyDescent="0.3">
      <c r="A200" t="s">
        <v>354</v>
      </c>
      <c r="B200" t="s">
        <v>355</v>
      </c>
      <c r="C200" t="s">
        <v>9</v>
      </c>
      <c r="D200" t="s">
        <v>10</v>
      </c>
      <c r="E200">
        <v>1611</v>
      </c>
      <c r="F200" t="b">
        <v>1</v>
      </c>
      <c r="G200" t="str">
        <f>HYPERLINK("https://www.google.com/maps/search/?api=1&amp;query=24.78812478,46.66134629", "View Map")</f>
        <v>View Map</v>
      </c>
    </row>
    <row r="201" spans="1:7" x14ac:dyDescent="0.3">
      <c r="A201" t="s">
        <v>27</v>
      </c>
      <c r="B201" t="s">
        <v>356</v>
      </c>
      <c r="C201" t="s">
        <v>9</v>
      </c>
      <c r="D201" t="s">
        <v>10</v>
      </c>
      <c r="E201">
        <v>1607</v>
      </c>
      <c r="F201" t="b">
        <v>1</v>
      </c>
      <c r="G201" t="str">
        <f>HYPERLINK("https://www.google.com/maps/search/?api=1&amp;query=24.84132377,46.75461212", "View Map")</f>
        <v>View Map</v>
      </c>
    </row>
    <row r="202" spans="1:7" x14ac:dyDescent="0.3">
      <c r="A202" t="s">
        <v>357</v>
      </c>
      <c r="B202" t="s">
        <v>358</v>
      </c>
      <c r="C202" t="s">
        <v>9</v>
      </c>
      <c r="D202" t="s">
        <v>10</v>
      </c>
      <c r="E202">
        <v>1601</v>
      </c>
      <c r="F202" t="b">
        <v>1</v>
      </c>
      <c r="G202" t="str">
        <f>HYPERLINK("https://www.google.com/maps/search/?api=1&amp;query=24.80083616,46.64942101", "View Map")</f>
        <v>View Map</v>
      </c>
    </row>
    <row r="203" spans="1:7" x14ac:dyDescent="0.3">
      <c r="A203" t="s">
        <v>359</v>
      </c>
      <c r="B203" t="s">
        <v>360</v>
      </c>
      <c r="C203" t="s">
        <v>9</v>
      </c>
      <c r="D203" t="s">
        <v>10</v>
      </c>
      <c r="E203">
        <v>1600</v>
      </c>
      <c r="F203" t="b">
        <v>1</v>
      </c>
      <c r="G203" t="str">
        <f>HYPERLINK("https://www.google.com/maps/search/?api=1&amp;query=24.73006,46.65733", "View Map")</f>
        <v>View Map</v>
      </c>
    </row>
    <row r="204" spans="1:7" x14ac:dyDescent="0.3">
      <c r="A204" t="s">
        <v>361</v>
      </c>
      <c r="B204" t="s">
        <v>362</v>
      </c>
      <c r="C204" t="s">
        <v>9</v>
      </c>
      <c r="D204" t="s">
        <v>10</v>
      </c>
      <c r="E204">
        <v>1587</v>
      </c>
      <c r="F204" t="b">
        <v>1</v>
      </c>
      <c r="G204" t="str">
        <f>HYPERLINK("https://www.google.com/maps/search/?api=1&amp;query=24.65104427,46.81195515", "View Map")</f>
        <v>View Map</v>
      </c>
    </row>
    <row r="205" spans="1:7" x14ac:dyDescent="0.3">
      <c r="A205" t="s">
        <v>219</v>
      </c>
      <c r="B205" t="s">
        <v>363</v>
      </c>
      <c r="C205" t="s">
        <v>9</v>
      </c>
      <c r="D205" t="s">
        <v>10</v>
      </c>
      <c r="E205">
        <v>1581</v>
      </c>
      <c r="F205" t="b">
        <v>1</v>
      </c>
      <c r="G205" t="str">
        <f>HYPERLINK("https://www.google.com/maps/search/?api=1&amp;query=24.58332442,46.77322389", "View Map")</f>
        <v>View Map</v>
      </c>
    </row>
    <row r="206" spans="1:7" x14ac:dyDescent="0.3">
      <c r="A206" t="s">
        <v>364</v>
      </c>
      <c r="B206" t="s">
        <v>365</v>
      </c>
      <c r="C206" t="s">
        <v>9</v>
      </c>
      <c r="D206" t="s">
        <v>10</v>
      </c>
      <c r="E206">
        <v>1575</v>
      </c>
      <c r="F206" t="b">
        <v>1</v>
      </c>
      <c r="G206" t="str">
        <f>HYPERLINK("https://www.google.com/maps/search/?api=1&amp;query=24.78268326,46.69424282", "View Map")</f>
        <v>View Map</v>
      </c>
    </row>
    <row r="207" spans="1:7" x14ac:dyDescent="0.3">
      <c r="A207" t="s">
        <v>27</v>
      </c>
      <c r="B207" t="s">
        <v>366</v>
      </c>
      <c r="C207" t="s">
        <v>9</v>
      </c>
      <c r="D207" t="s">
        <v>10</v>
      </c>
      <c r="E207">
        <v>1574</v>
      </c>
      <c r="F207" t="b">
        <v>1</v>
      </c>
      <c r="G207" t="str">
        <f>HYPERLINK("https://www.google.com/maps/search/?api=1&amp;query=24.62069505,46.76202884", "View Map")</f>
        <v>View Map</v>
      </c>
    </row>
    <row r="208" spans="1:7" x14ac:dyDescent="0.3">
      <c r="A208" t="s">
        <v>367</v>
      </c>
      <c r="B208" t="s">
        <v>368</v>
      </c>
      <c r="C208" t="s">
        <v>9</v>
      </c>
      <c r="D208" t="s">
        <v>10</v>
      </c>
      <c r="E208">
        <v>1574</v>
      </c>
      <c r="F208" t="b">
        <v>1</v>
      </c>
      <c r="G208" t="str">
        <f>HYPERLINK("https://www.google.com/maps/search/?api=1&amp;query=24.7549957,46.72114823", "View Map")</f>
        <v>View Map</v>
      </c>
    </row>
    <row r="209" spans="1:7" x14ac:dyDescent="0.3">
      <c r="A209" t="s">
        <v>27</v>
      </c>
      <c r="B209" t="s">
        <v>369</v>
      </c>
      <c r="C209" t="s">
        <v>9</v>
      </c>
      <c r="D209" t="s">
        <v>10</v>
      </c>
      <c r="E209">
        <v>1574</v>
      </c>
      <c r="F209" t="b">
        <v>1</v>
      </c>
      <c r="G209" t="str">
        <f>HYPERLINK("https://www.google.com/maps/search/?api=1&amp;query=24.83705,46.65104", "View Map")</f>
        <v>View Map</v>
      </c>
    </row>
    <row r="210" spans="1:7" x14ac:dyDescent="0.3">
      <c r="A210" t="s">
        <v>370</v>
      </c>
      <c r="B210" t="s">
        <v>371</v>
      </c>
      <c r="C210" t="s">
        <v>9</v>
      </c>
      <c r="D210" t="s">
        <v>10</v>
      </c>
      <c r="E210">
        <v>1574</v>
      </c>
      <c r="F210" t="b">
        <v>1</v>
      </c>
      <c r="G210" t="str">
        <f>HYPERLINK("https://www.google.com/maps/search/?api=1&amp;query=24.75806727,46.74662437", "View Map")</f>
        <v>View Map</v>
      </c>
    </row>
    <row r="211" spans="1:7" x14ac:dyDescent="0.3">
      <c r="A211" t="s">
        <v>372</v>
      </c>
      <c r="B211" t="s">
        <v>373</v>
      </c>
      <c r="C211" t="s">
        <v>9</v>
      </c>
      <c r="D211" t="s">
        <v>10</v>
      </c>
      <c r="E211">
        <v>1563</v>
      </c>
      <c r="F211" t="b">
        <v>1</v>
      </c>
      <c r="G211" t="str">
        <f>HYPERLINK("https://www.google.com/maps/search/?api=1&amp;query=24.68619557,46.78018729", "View Map")</f>
        <v>View Map</v>
      </c>
    </row>
    <row r="212" spans="1:7" x14ac:dyDescent="0.3">
      <c r="A212" t="s">
        <v>194</v>
      </c>
      <c r="B212" t="s">
        <v>374</v>
      </c>
      <c r="C212" t="s">
        <v>9</v>
      </c>
      <c r="D212" t="s">
        <v>10</v>
      </c>
      <c r="E212">
        <v>1561</v>
      </c>
      <c r="F212" t="b">
        <v>1</v>
      </c>
      <c r="G212" t="str">
        <f>HYPERLINK("https://www.google.com/maps/search/?api=1&amp;query=24.81756076,46.77037614", "View Map")</f>
        <v>View Map</v>
      </c>
    </row>
    <row r="213" spans="1:7" x14ac:dyDescent="0.3">
      <c r="A213" t="s">
        <v>375</v>
      </c>
      <c r="B213" t="s">
        <v>376</v>
      </c>
      <c r="C213" t="s">
        <v>9</v>
      </c>
      <c r="D213" t="s">
        <v>10</v>
      </c>
      <c r="E213">
        <v>1560</v>
      </c>
      <c r="F213" t="b">
        <v>1</v>
      </c>
      <c r="G213" t="str">
        <f>HYPERLINK("https://www.google.com/maps/search/?api=1&amp;query=24.5894657,46.79147885", "View Map")</f>
        <v>View Map</v>
      </c>
    </row>
    <row r="214" spans="1:7" x14ac:dyDescent="0.3">
      <c r="A214" t="s">
        <v>377</v>
      </c>
      <c r="B214" t="s">
        <v>378</v>
      </c>
      <c r="C214" t="s">
        <v>9</v>
      </c>
      <c r="D214" t="s">
        <v>10</v>
      </c>
      <c r="E214">
        <v>1553</v>
      </c>
      <c r="F214" t="b">
        <v>1</v>
      </c>
      <c r="G214" t="str">
        <f>HYPERLINK("https://www.google.com/maps/search/?api=1&amp;query=24.7471122,46.80341236", "View Map")</f>
        <v>View Map</v>
      </c>
    </row>
    <row r="215" spans="1:7" x14ac:dyDescent="0.3">
      <c r="A215" t="s">
        <v>379</v>
      </c>
      <c r="B215" t="s">
        <v>380</v>
      </c>
      <c r="C215" t="s">
        <v>9</v>
      </c>
      <c r="D215" t="s">
        <v>10</v>
      </c>
      <c r="E215">
        <v>1547</v>
      </c>
      <c r="F215" t="b">
        <v>1</v>
      </c>
      <c r="G215" t="str">
        <f>HYPERLINK("https://www.google.com/maps/search/?api=1&amp;query=24.68403664,46.64290979", "View Map")</f>
        <v>View Map</v>
      </c>
    </row>
    <row r="216" spans="1:7" x14ac:dyDescent="0.3">
      <c r="A216" t="s">
        <v>381</v>
      </c>
      <c r="B216" t="s">
        <v>382</v>
      </c>
      <c r="C216" t="s">
        <v>9</v>
      </c>
      <c r="D216" t="s">
        <v>10</v>
      </c>
      <c r="E216">
        <v>1545</v>
      </c>
      <c r="F216" t="b">
        <v>1</v>
      </c>
      <c r="G216" t="str">
        <f>HYPERLINK("https://www.google.com/maps/search/?api=1&amp;query=24.63143668,46.55845555", "View Map")</f>
        <v>View Map</v>
      </c>
    </row>
    <row r="217" spans="1:7" x14ac:dyDescent="0.3">
      <c r="A217" t="s">
        <v>383</v>
      </c>
      <c r="B217" t="s">
        <v>384</v>
      </c>
      <c r="C217" t="s">
        <v>9</v>
      </c>
      <c r="D217" t="s">
        <v>10</v>
      </c>
      <c r="E217">
        <v>1544</v>
      </c>
      <c r="F217" t="b">
        <v>1</v>
      </c>
      <c r="G217" t="str">
        <f>HYPERLINK("https://www.google.com/maps/search/?api=1&amp;query=24.7368616,46.67932325", "View Map")</f>
        <v>View Map</v>
      </c>
    </row>
    <row r="218" spans="1:7" x14ac:dyDescent="0.3">
      <c r="A218" t="s">
        <v>27</v>
      </c>
      <c r="B218" t="s">
        <v>385</v>
      </c>
      <c r="C218" t="s">
        <v>9</v>
      </c>
      <c r="D218" t="s">
        <v>10</v>
      </c>
      <c r="E218">
        <v>1540</v>
      </c>
      <c r="F218" t="b">
        <v>1</v>
      </c>
      <c r="G218" t="str">
        <f>HYPERLINK("https://www.google.com/maps/search/?api=1&amp;query=24.79683667,46.7940238", "View Map")</f>
        <v>View Map</v>
      </c>
    </row>
    <row r="219" spans="1:7" x14ac:dyDescent="0.3">
      <c r="A219" t="s">
        <v>386</v>
      </c>
      <c r="B219" t="s">
        <v>387</v>
      </c>
      <c r="C219" t="s">
        <v>9</v>
      </c>
      <c r="D219" t="s">
        <v>10</v>
      </c>
      <c r="E219">
        <v>1534</v>
      </c>
      <c r="F219" t="b">
        <v>1</v>
      </c>
      <c r="G219" t="str">
        <f>HYPERLINK("https://www.google.com/maps/search/?api=1&amp;query=24.69361629,46.77754291", "View Map")</f>
        <v>View Map</v>
      </c>
    </row>
    <row r="220" spans="1:7" x14ac:dyDescent="0.3">
      <c r="A220" t="s">
        <v>388</v>
      </c>
      <c r="B220" t="s">
        <v>389</v>
      </c>
      <c r="C220" t="s">
        <v>9</v>
      </c>
      <c r="D220" t="s">
        <v>10</v>
      </c>
      <c r="E220">
        <v>1534</v>
      </c>
      <c r="F220" t="b">
        <v>1</v>
      </c>
      <c r="G220" t="str">
        <f>HYPERLINK("https://www.google.com/maps/search/?api=1&amp;query=24.65289934,46.55807417", "View Map")</f>
        <v>View Map</v>
      </c>
    </row>
    <row r="221" spans="1:7" x14ac:dyDescent="0.3">
      <c r="A221" t="s">
        <v>390</v>
      </c>
      <c r="B221" t="s">
        <v>391</v>
      </c>
      <c r="C221" t="s">
        <v>9</v>
      </c>
      <c r="D221" t="s">
        <v>10</v>
      </c>
      <c r="E221">
        <v>1531</v>
      </c>
      <c r="F221" t="b">
        <v>1</v>
      </c>
      <c r="G221" t="str">
        <f>HYPERLINK("https://www.google.com/maps/search/?api=1&amp;query=24.72690278,46.70476956", "View Map")</f>
        <v>View Map</v>
      </c>
    </row>
    <row r="222" spans="1:7" x14ac:dyDescent="0.3">
      <c r="A222" t="s">
        <v>392</v>
      </c>
      <c r="B222" t="s">
        <v>393</v>
      </c>
      <c r="C222" t="s">
        <v>9</v>
      </c>
      <c r="D222" t="s">
        <v>10</v>
      </c>
      <c r="E222">
        <v>1528</v>
      </c>
      <c r="F222" t="b">
        <v>1</v>
      </c>
      <c r="G222" t="str">
        <f>HYPERLINK("https://www.google.com/maps/search/?api=1&amp;query=24.76065,46.73701", "View Map")</f>
        <v>View Map</v>
      </c>
    </row>
    <row r="223" spans="1:7" x14ac:dyDescent="0.3">
      <c r="A223" t="s">
        <v>27</v>
      </c>
      <c r="B223" t="s">
        <v>394</v>
      </c>
      <c r="C223" t="s">
        <v>9</v>
      </c>
      <c r="D223" t="s">
        <v>10</v>
      </c>
      <c r="E223">
        <v>1525</v>
      </c>
      <c r="F223" t="b">
        <v>1</v>
      </c>
      <c r="G223" t="str">
        <f>HYPERLINK("https://www.google.com/maps/search/?api=1&amp;query=24.86500454,46.64300251", "View Map")</f>
        <v>View Map</v>
      </c>
    </row>
    <row r="224" spans="1:7" x14ac:dyDescent="0.3">
      <c r="A224" t="s">
        <v>395</v>
      </c>
      <c r="B224" t="s">
        <v>396</v>
      </c>
      <c r="C224" t="s">
        <v>9</v>
      </c>
      <c r="D224" t="s">
        <v>10</v>
      </c>
      <c r="E224">
        <v>1523</v>
      </c>
      <c r="F224" t="b">
        <v>1</v>
      </c>
      <c r="G224" t="str">
        <f>HYPERLINK("https://www.google.com/maps/search/?api=1&amp;query=24.67875292,46.70016142", "View Map")</f>
        <v>View Map</v>
      </c>
    </row>
    <row r="225" spans="1:7" x14ac:dyDescent="0.3">
      <c r="A225" t="s">
        <v>397</v>
      </c>
      <c r="B225" t="s">
        <v>398</v>
      </c>
      <c r="C225" t="s">
        <v>9</v>
      </c>
      <c r="D225" t="s">
        <v>10</v>
      </c>
      <c r="E225">
        <v>1514</v>
      </c>
      <c r="F225" t="b">
        <v>1</v>
      </c>
      <c r="G225" t="str">
        <f>HYPERLINK("https://www.google.com/maps/search/?api=1&amp;query=24.72517966,46.80649294", "View Map")</f>
        <v>View Map</v>
      </c>
    </row>
    <row r="226" spans="1:7" x14ac:dyDescent="0.3">
      <c r="A226" t="s">
        <v>399</v>
      </c>
      <c r="B226" t="s">
        <v>400</v>
      </c>
      <c r="C226" t="s">
        <v>9</v>
      </c>
      <c r="D226" t="s">
        <v>10</v>
      </c>
      <c r="E226">
        <v>1513</v>
      </c>
      <c r="F226" t="b">
        <v>1</v>
      </c>
      <c r="G226" t="str">
        <f>HYPERLINK("https://www.google.com/maps/search/?api=1&amp;query=24.59554867,46.67081579", "View Map")</f>
        <v>View Map</v>
      </c>
    </row>
    <row r="227" spans="1:7" x14ac:dyDescent="0.3">
      <c r="A227" t="s">
        <v>401</v>
      </c>
      <c r="B227" t="s">
        <v>402</v>
      </c>
      <c r="C227" t="s">
        <v>72</v>
      </c>
      <c r="D227" t="s">
        <v>154</v>
      </c>
      <c r="E227">
        <v>1509</v>
      </c>
      <c r="F227" t="b">
        <v>1</v>
      </c>
      <c r="G227" t="str">
        <f>HYPERLINK("https://www.google.com/maps/search/?api=1&amp;query=24.74393078,46.59568889", "View Map")</f>
        <v>View Map</v>
      </c>
    </row>
    <row r="228" spans="1:7" x14ac:dyDescent="0.3">
      <c r="A228" t="s">
        <v>27</v>
      </c>
      <c r="B228" t="s">
        <v>403</v>
      </c>
      <c r="C228" t="s">
        <v>9</v>
      </c>
      <c r="D228" t="s">
        <v>10</v>
      </c>
      <c r="E228">
        <v>1500</v>
      </c>
      <c r="F228" t="b">
        <v>1</v>
      </c>
      <c r="G228" t="str">
        <f>HYPERLINK("https://www.google.com/maps/search/?api=1&amp;query=24.84848672,46.81388526", "View Map")</f>
        <v>View Map</v>
      </c>
    </row>
    <row r="229" spans="1:7" x14ac:dyDescent="0.3">
      <c r="A229" t="s">
        <v>404</v>
      </c>
      <c r="B229" t="s">
        <v>405</v>
      </c>
      <c r="C229" t="s">
        <v>9</v>
      </c>
      <c r="D229" t="s">
        <v>10</v>
      </c>
      <c r="E229">
        <v>1499</v>
      </c>
      <c r="F229" t="b">
        <v>1</v>
      </c>
      <c r="G229" t="str">
        <f>HYPERLINK("https://www.google.com/maps/search/?api=1&amp;query=24.54613916,46.72204318", "View Map")</f>
        <v>View Map</v>
      </c>
    </row>
    <row r="230" spans="1:7" x14ac:dyDescent="0.3">
      <c r="A230" t="s">
        <v>406</v>
      </c>
      <c r="B230" t="s">
        <v>407</v>
      </c>
      <c r="C230" t="s">
        <v>9</v>
      </c>
      <c r="D230" t="s">
        <v>10</v>
      </c>
      <c r="E230">
        <v>1496</v>
      </c>
      <c r="F230" t="b">
        <v>1</v>
      </c>
      <c r="G230" t="str">
        <f>HYPERLINK("https://www.google.com/maps/search/?api=1&amp;query=24.79318363,46.69914311", "View Map")</f>
        <v>View Map</v>
      </c>
    </row>
    <row r="231" spans="1:7" x14ac:dyDescent="0.3">
      <c r="A231" t="s">
        <v>408</v>
      </c>
      <c r="B231" t="s">
        <v>409</v>
      </c>
      <c r="C231" t="s">
        <v>9</v>
      </c>
      <c r="D231" t="s">
        <v>10</v>
      </c>
      <c r="E231">
        <v>1494</v>
      </c>
      <c r="F231" t="b">
        <v>1</v>
      </c>
      <c r="G231" t="str">
        <f>HYPERLINK("https://www.google.com/maps/search/?api=1&amp;query=24.57945465,46.60578049", "View Map")</f>
        <v>View Map</v>
      </c>
    </row>
    <row r="232" spans="1:7" x14ac:dyDescent="0.3">
      <c r="A232" t="s">
        <v>159</v>
      </c>
      <c r="B232" t="s">
        <v>410</v>
      </c>
      <c r="C232" t="s">
        <v>9</v>
      </c>
      <c r="D232" t="s">
        <v>10</v>
      </c>
      <c r="E232">
        <v>1493</v>
      </c>
      <c r="F232" t="b">
        <v>1</v>
      </c>
      <c r="G232" t="str">
        <f>HYPERLINK("https://www.google.com/maps/search/?api=1&amp;query=24.55584605,46.61643833", "View Map")</f>
        <v>View Map</v>
      </c>
    </row>
    <row r="233" spans="1:7" x14ac:dyDescent="0.3">
      <c r="A233" t="s">
        <v>411</v>
      </c>
      <c r="B233" t="s">
        <v>412</v>
      </c>
      <c r="C233" t="s">
        <v>9</v>
      </c>
      <c r="D233" t="s">
        <v>10</v>
      </c>
      <c r="E233">
        <v>1486</v>
      </c>
      <c r="F233" t="b">
        <v>1</v>
      </c>
      <c r="G233" t="str">
        <f>HYPERLINK("https://www.google.com/maps/search/?api=1&amp;query=24.77426357,46.79551526", "View Map")</f>
        <v>View Map</v>
      </c>
    </row>
    <row r="234" spans="1:7" x14ac:dyDescent="0.3">
      <c r="A234" t="s">
        <v>413</v>
      </c>
      <c r="B234" t="s">
        <v>414</v>
      </c>
      <c r="C234" t="s">
        <v>9</v>
      </c>
      <c r="D234" t="s">
        <v>10</v>
      </c>
      <c r="E234">
        <v>1479</v>
      </c>
      <c r="F234" t="b">
        <v>1</v>
      </c>
      <c r="G234" t="str">
        <f>HYPERLINK("https://www.google.com/maps/search/?api=1&amp;query=24.7339594,46.74493408", "View Map")</f>
        <v>View Map</v>
      </c>
    </row>
    <row r="235" spans="1:7" x14ac:dyDescent="0.3">
      <c r="A235" t="s">
        <v>415</v>
      </c>
      <c r="B235" t="s">
        <v>416</v>
      </c>
      <c r="C235" t="s">
        <v>9</v>
      </c>
      <c r="D235" t="s">
        <v>10</v>
      </c>
      <c r="E235">
        <v>1478</v>
      </c>
      <c r="F235" t="b">
        <v>1</v>
      </c>
      <c r="G235" t="str">
        <f>HYPERLINK("https://www.google.com/maps/search/?api=1&amp;query=24.79887,46.74665", "View Map")</f>
        <v>View Map</v>
      </c>
    </row>
    <row r="236" spans="1:7" x14ac:dyDescent="0.3">
      <c r="A236" t="s">
        <v>417</v>
      </c>
      <c r="B236" t="s">
        <v>418</v>
      </c>
      <c r="C236" t="s">
        <v>9</v>
      </c>
      <c r="D236" t="s">
        <v>10</v>
      </c>
      <c r="E236">
        <v>1477</v>
      </c>
      <c r="F236" t="b">
        <v>1</v>
      </c>
      <c r="G236" t="str">
        <f>HYPERLINK("https://www.google.com/maps/search/?api=1&amp;query=24.67397487,46.72966388", "View Map")</f>
        <v>View Map</v>
      </c>
    </row>
    <row r="237" spans="1:7" x14ac:dyDescent="0.3">
      <c r="A237" t="s">
        <v>419</v>
      </c>
      <c r="B237" t="s">
        <v>420</v>
      </c>
      <c r="C237" t="s">
        <v>9</v>
      </c>
      <c r="D237" t="s">
        <v>10</v>
      </c>
      <c r="E237">
        <v>1476</v>
      </c>
      <c r="F237" t="b">
        <v>1</v>
      </c>
      <c r="G237" t="str">
        <f>HYPERLINK("https://www.google.com/maps/search/?api=1&amp;query=24.72993825,46.65608824", "View Map")</f>
        <v>View Map</v>
      </c>
    </row>
    <row r="238" spans="1:7" x14ac:dyDescent="0.3">
      <c r="A238" t="s">
        <v>421</v>
      </c>
      <c r="B238" t="s">
        <v>422</v>
      </c>
      <c r="C238" t="s">
        <v>9</v>
      </c>
      <c r="D238" t="s">
        <v>10</v>
      </c>
      <c r="E238">
        <v>1471</v>
      </c>
      <c r="F238" t="b">
        <v>1</v>
      </c>
      <c r="G238" t="str">
        <f>HYPERLINK("https://www.google.com/maps/search/?api=1&amp;query=24.72548506,46.78920127", "View Map")</f>
        <v>View Map</v>
      </c>
    </row>
    <row r="239" spans="1:7" x14ac:dyDescent="0.3">
      <c r="A239" t="s">
        <v>423</v>
      </c>
      <c r="B239" t="s">
        <v>424</v>
      </c>
      <c r="C239" t="s">
        <v>9</v>
      </c>
      <c r="D239" t="s">
        <v>10</v>
      </c>
      <c r="E239">
        <v>1468</v>
      </c>
      <c r="F239" t="b">
        <v>1</v>
      </c>
      <c r="G239" t="str">
        <f>HYPERLINK("https://www.google.com/maps/search/?api=1&amp;query=24.59371774,46.76144005", "View Map")</f>
        <v>View Map</v>
      </c>
    </row>
    <row r="240" spans="1:7" x14ac:dyDescent="0.3">
      <c r="A240" t="s">
        <v>226</v>
      </c>
      <c r="B240" t="s">
        <v>425</v>
      </c>
      <c r="C240" t="s">
        <v>9</v>
      </c>
      <c r="D240" t="s">
        <v>10</v>
      </c>
      <c r="E240">
        <v>1465</v>
      </c>
      <c r="F240" t="b">
        <v>1</v>
      </c>
      <c r="G240" t="str">
        <f>HYPERLINK("https://www.google.com/maps/search/?api=1&amp;query=24.76531804,46.7630721", "View Map")</f>
        <v>View Map</v>
      </c>
    </row>
    <row r="241" spans="1:7" x14ac:dyDescent="0.3">
      <c r="A241" t="s">
        <v>426</v>
      </c>
      <c r="B241" t="s">
        <v>427</v>
      </c>
      <c r="C241" t="s">
        <v>9</v>
      </c>
      <c r="D241" t="s">
        <v>154</v>
      </c>
      <c r="E241">
        <v>1464</v>
      </c>
      <c r="F241" t="b">
        <v>1</v>
      </c>
      <c r="G241" t="str">
        <f>HYPERLINK("https://www.google.com/maps/search/?api=1&amp;query=24.69826097,46.80339704", "View Map")</f>
        <v>View Map</v>
      </c>
    </row>
    <row r="242" spans="1:7" x14ac:dyDescent="0.3">
      <c r="A242" t="s">
        <v>428</v>
      </c>
      <c r="B242" t="s">
        <v>429</v>
      </c>
      <c r="C242" t="s">
        <v>9</v>
      </c>
      <c r="D242" t="s">
        <v>10</v>
      </c>
      <c r="E242">
        <v>1459</v>
      </c>
      <c r="F242" t="b">
        <v>1</v>
      </c>
      <c r="G242" t="str">
        <f>HYPERLINK("https://www.google.com/maps/search/?api=1&amp;query=24.79958821,46.63371581", "View Map")</f>
        <v>View Map</v>
      </c>
    </row>
    <row r="243" spans="1:7" x14ac:dyDescent="0.3">
      <c r="A243" t="s">
        <v>430</v>
      </c>
      <c r="B243" t="s">
        <v>431</v>
      </c>
      <c r="C243" t="s">
        <v>9</v>
      </c>
      <c r="D243" t="s">
        <v>10</v>
      </c>
      <c r="E243">
        <v>1458</v>
      </c>
      <c r="F243" t="b">
        <v>1</v>
      </c>
      <c r="G243" t="str">
        <f>HYPERLINK("https://www.google.com/maps/search/?api=1&amp;query=24.73141341,46.81933181", "View Map")</f>
        <v>View Map</v>
      </c>
    </row>
    <row r="244" spans="1:7" x14ac:dyDescent="0.3">
      <c r="A244" t="s">
        <v>432</v>
      </c>
      <c r="B244" t="s">
        <v>433</v>
      </c>
      <c r="C244" t="s">
        <v>9</v>
      </c>
      <c r="D244" t="s">
        <v>10</v>
      </c>
      <c r="E244">
        <v>1455</v>
      </c>
      <c r="F244" t="b">
        <v>1</v>
      </c>
      <c r="G244" t="str">
        <f>HYPERLINK("https://www.google.com/maps/search/?api=1&amp;query=24.7753332,46.66127253", "View Map")</f>
        <v>View Map</v>
      </c>
    </row>
    <row r="245" spans="1:7" x14ac:dyDescent="0.3">
      <c r="A245" t="s">
        <v>159</v>
      </c>
      <c r="B245" t="s">
        <v>434</v>
      </c>
      <c r="C245" t="s">
        <v>9</v>
      </c>
      <c r="D245" t="s">
        <v>10</v>
      </c>
      <c r="E245">
        <v>1451</v>
      </c>
      <c r="F245" t="b">
        <v>1</v>
      </c>
      <c r="G245" t="str">
        <f>HYPERLINK("https://www.google.com/maps/search/?api=1&amp;query=24.55363744,46.55218514", "View Map")</f>
        <v>View Map</v>
      </c>
    </row>
    <row r="246" spans="1:7" x14ac:dyDescent="0.3">
      <c r="A246" t="s">
        <v>435</v>
      </c>
      <c r="B246" t="s">
        <v>436</v>
      </c>
      <c r="C246" t="s">
        <v>9</v>
      </c>
      <c r="D246" t="s">
        <v>10</v>
      </c>
      <c r="E246">
        <v>1449</v>
      </c>
      <c r="F246" t="b">
        <v>1</v>
      </c>
      <c r="G246" t="str">
        <f>HYPERLINK("https://www.google.com/maps/search/?api=1&amp;query=24.76349582,46.73857398", "View Map")</f>
        <v>View Map</v>
      </c>
    </row>
    <row r="247" spans="1:7" x14ac:dyDescent="0.3">
      <c r="A247" t="s">
        <v>27</v>
      </c>
      <c r="B247" t="s">
        <v>437</v>
      </c>
      <c r="C247" t="s">
        <v>9</v>
      </c>
      <c r="D247" t="s">
        <v>10</v>
      </c>
      <c r="E247">
        <v>1443</v>
      </c>
      <c r="F247" t="b">
        <v>1</v>
      </c>
      <c r="G247" t="str">
        <f>HYPERLINK("https://www.google.com/maps/search/?api=1&amp;query=24.83703111,46.77066822", "View Map")</f>
        <v>View Map</v>
      </c>
    </row>
    <row r="248" spans="1:7" x14ac:dyDescent="0.3">
      <c r="A248" t="s">
        <v>438</v>
      </c>
      <c r="B248" t="s">
        <v>439</v>
      </c>
      <c r="C248" t="s">
        <v>9</v>
      </c>
      <c r="D248" t="s">
        <v>10</v>
      </c>
      <c r="E248">
        <v>1443</v>
      </c>
      <c r="F248" t="b">
        <v>1</v>
      </c>
      <c r="G248" t="str">
        <f>HYPERLINK("https://www.google.com/maps/search/?api=1&amp;query=24.6348789,46.72995099", "View Map")</f>
        <v>View Map</v>
      </c>
    </row>
    <row r="249" spans="1:7" x14ac:dyDescent="0.3">
      <c r="A249" t="s">
        <v>440</v>
      </c>
      <c r="B249" t="s">
        <v>441</v>
      </c>
      <c r="C249" t="s">
        <v>9</v>
      </c>
      <c r="D249" t="s">
        <v>10</v>
      </c>
      <c r="E249">
        <v>1442</v>
      </c>
      <c r="F249" t="b">
        <v>1</v>
      </c>
      <c r="G249" t="str">
        <f>HYPERLINK("https://www.google.com/maps/search/?api=1&amp;query=24.59691053,46.70225699", "View Map")</f>
        <v>View Map</v>
      </c>
    </row>
    <row r="250" spans="1:7" x14ac:dyDescent="0.3">
      <c r="A250" t="s">
        <v>442</v>
      </c>
      <c r="B250" t="s">
        <v>443</v>
      </c>
      <c r="C250" t="s">
        <v>9</v>
      </c>
      <c r="D250" t="s">
        <v>10</v>
      </c>
      <c r="E250">
        <v>1442</v>
      </c>
      <c r="F250" t="b">
        <v>1</v>
      </c>
      <c r="G250" t="str">
        <f>HYPERLINK("https://www.google.com/maps/search/?api=1&amp;query=24.8252308,46.77551103", "View Map")</f>
        <v>View Map</v>
      </c>
    </row>
    <row r="251" spans="1:7" x14ac:dyDescent="0.3">
      <c r="A251" t="s">
        <v>19</v>
      </c>
      <c r="B251" t="s">
        <v>444</v>
      </c>
      <c r="C251" t="s">
        <v>9</v>
      </c>
      <c r="D251" t="s">
        <v>10</v>
      </c>
      <c r="E251">
        <v>1440</v>
      </c>
      <c r="F251" t="b">
        <v>1</v>
      </c>
      <c r="G251" t="str">
        <f>HYPERLINK("https://www.google.com/maps/search/?api=1&amp;query=24.78503888,46.67786923", "View Map")</f>
        <v>View Map</v>
      </c>
    </row>
    <row r="252" spans="1:7" x14ac:dyDescent="0.3">
      <c r="A252" t="s">
        <v>445</v>
      </c>
      <c r="B252" t="s">
        <v>446</v>
      </c>
      <c r="C252" t="s">
        <v>9</v>
      </c>
      <c r="D252" t="s">
        <v>154</v>
      </c>
      <c r="E252">
        <v>1439</v>
      </c>
      <c r="F252" t="b">
        <v>1</v>
      </c>
      <c r="G252" t="str">
        <f>HYPERLINK("https://www.google.com/maps/search/?api=1&amp;query=24.72963194,46.75550089", "View Map")</f>
        <v>View Map</v>
      </c>
    </row>
    <row r="253" spans="1:7" x14ac:dyDescent="0.3">
      <c r="A253" t="s">
        <v>27</v>
      </c>
      <c r="B253" t="s">
        <v>447</v>
      </c>
      <c r="C253" t="s">
        <v>9</v>
      </c>
      <c r="D253" t="s">
        <v>154</v>
      </c>
      <c r="E253">
        <v>1438</v>
      </c>
      <c r="F253" t="b">
        <v>1</v>
      </c>
      <c r="G253" t="str">
        <f>HYPERLINK("https://www.google.com/maps/search/?api=1&amp;query=24.82519516,46.57665367", "View Map")</f>
        <v>View Map</v>
      </c>
    </row>
    <row r="254" spans="1:7" x14ac:dyDescent="0.3">
      <c r="A254" t="s">
        <v>448</v>
      </c>
      <c r="B254" t="s">
        <v>449</v>
      </c>
      <c r="C254" t="s">
        <v>9</v>
      </c>
      <c r="D254" t="s">
        <v>10</v>
      </c>
      <c r="E254">
        <v>1436</v>
      </c>
      <c r="F254" t="b">
        <v>1</v>
      </c>
      <c r="G254" t="str">
        <f>HYPERLINK("https://www.google.com/maps/search/?api=1&amp;query=24.67184839,46.87290208", "View Map")</f>
        <v>View Map</v>
      </c>
    </row>
    <row r="255" spans="1:7" x14ac:dyDescent="0.3">
      <c r="A255" t="s">
        <v>450</v>
      </c>
      <c r="B255" t="s">
        <v>451</v>
      </c>
      <c r="C255" t="s">
        <v>9</v>
      </c>
      <c r="D255" t="s">
        <v>10</v>
      </c>
      <c r="E255">
        <v>1435</v>
      </c>
      <c r="F255" t="b">
        <v>1</v>
      </c>
      <c r="G255" t="str">
        <f>HYPERLINK("https://www.google.com/maps/search/?api=1&amp;query=24.63267259,46.59960982", "View Map")</f>
        <v>View Map</v>
      </c>
    </row>
    <row r="256" spans="1:7" x14ac:dyDescent="0.3">
      <c r="A256" t="s">
        <v>452</v>
      </c>
      <c r="B256" t="s">
        <v>453</v>
      </c>
      <c r="C256" t="s">
        <v>9</v>
      </c>
      <c r="D256" t="s">
        <v>10</v>
      </c>
      <c r="E256">
        <v>1431</v>
      </c>
      <c r="F256" t="b">
        <v>1</v>
      </c>
      <c r="G256" t="str">
        <f>HYPERLINK("https://www.google.com/maps/search/?api=1&amp;query=24.63100061,46.70569836", "View Map")</f>
        <v>View Map</v>
      </c>
    </row>
    <row r="257" spans="1:7" x14ac:dyDescent="0.3">
      <c r="A257" t="s">
        <v>454</v>
      </c>
      <c r="B257" t="s">
        <v>455</v>
      </c>
      <c r="C257" t="s">
        <v>9</v>
      </c>
      <c r="D257" t="s">
        <v>10</v>
      </c>
      <c r="E257">
        <v>1426</v>
      </c>
      <c r="F257" t="b">
        <v>1</v>
      </c>
      <c r="G257" t="str">
        <f>HYPERLINK("https://www.google.com/maps/search/?api=1&amp;query=24.7808198,46.80009952", "View Map")</f>
        <v>View Map</v>
      </c>
    </row>
    <row r="258" spans="1:7" x14ac:dyDescent="0.3">
      <c r="A258" t="s">
        <v>456</v>
      </c>
      <c r="B258" t="s">
        <v>457</v>
      </c>
      <c r="C258" t="s">
        <v>9</v>
      </c>
      <c r="D258" t="s">
        <v>10</v>
      </c>
      <c r="E258">
        <v>1425</v>
      </c>
      <c r="F258" t="b">
        <v>1</v>
      </c>
      <c r="G258" t="str">
        <f>HYPERLINK("https://www.google.com/maps/search/?api=1&amp;query=24.69302381,46.66629719", "View Map")</f>
        <v>View Map</v>
      </c>
    </row>
    <row r="259" spans="1:7" x14ac:dyDescent="0.3">
      <c r="A259" t="s">
        <v>281</v>
      </c>
      <c r="B259" t="s">
        <v>458</v>
      </c>
      <c r="C259" t="s">
        <v>9</v>
      </c>
      <c r="D259" t="s">
        <v>10</v>
      </c>
      <c r="E259">
        <v>1418</v>
      </c>
      <c r="F259" t="b">
        <v>1</v>
      </c>
      <c r="G259" t="str">
        <f>HYPERLINK("https://www.google.com/maps/search/?api=1&amp;query=24.63679652,46.75307336", "View Map")</f>
        <v>View Map</v>
      </c>
    </row>
    <row r="260" spans="1:7" x14ac:dyDescent="0.3">
      <c r="A260" t="s">
        <v>459</v>
      </c>
      <c r="B260" t="s">
        <v>460</v>
      </c>
      <c r="C260" t="s">
        <v>9</v>
      </c>
      <c r="D260" t="s">
        <v>154</v>
      </c>
      <c r="E260">
        <v>1410</v>
      </c>
      <c r="F260" t="b">
        <v>1</v>
      </c>
      <c r="G260" t="str">
        <f>HYPERLINK("https://www.google.com/maps/search/?api=1&amp;query=24.70904817,46.8313787", "View Map")</f>
        <v>View Map</v>
      </c>
    </row>
    <row r="261" spans="1:7" x14ac:dyDescent="0.3">
      <c r="A261" t="s">
        <v>27</v>
      </c>
      <c r="B261" t="s">
        <v>461</v>
      </c>
      <c r="C261" t="s">
        <v>9</v>
      </c>
      <c r="D261" t="s">
        <v>10</v>
      </c>
      <c r="E261">
        <v>1410</v>
      </c>
      <c r="F261" t="b">
        <v>1</v>
      </c>
      <c r="G261" t="str">
        <f>HYPERLINK("https://www.google.com/maps/search/?api=1&amp;query=24.84062294,46.88054074", "View Map")</f>
        <v>View Map</v>
      </c>
    </row>
    <row r="262" spans="1:7" x14ac:dyDescent="0.3">
      <c r="A262" t="s">
        <v>462</v>
      </c>
      <c r="B262" t="s">
        <v>463</v>
      </c>
      <c r="C262" t="s">
        <v>9</v>
      </c>
      <c r="D262" t="s">
        <v>10</v>
      </c>
      <c r="E262">
        <v>1409</v>
      </c>
      <c r="F262" t="b">
        <v>1</v>
      </c>
      <c r="G262" t="str">
        <f>HYPERLINK("https://www.google.com/maps/search/?api=1&amp;query=24.78410917,46.82237605", "View Map")</f>
        <v>View Map</v>
      </c>
    </row>
    <row r="263" spans="1:7" x14ac:dyDescent="0.3">
      <c r="A263" t="s">
        <v>464</v>
      </c>
      <c r="B263" t="s">
        <v>465</v>
      </c>
      <c r="C263" t="s">
        <v>9</v>
      </c>
      <c r="D263" t="s">
        <v>10</v>
      </c>
      <c r="E263">
        <v>1407</v>
      </c>
      <c r="F263" t="b">
        <v>1</v>
      </c>
      <c r="G263" t="str">
        <f>HYPERLINK("https://www.google.com/maps/search/?api=1&amp;query=24.59719193,46.65401444", "View Map")</f>
        <v>View Map</v>
      </c>
    </row>
    <row r="264" spans="1:7" x14ac:dyDescent="0.3">
      <c r="A264" t="s">
        <v>45</v>
      </c>
      <c r="B264" t="s">
        <v>466</v>
      </c>
      <c r="C264" t="s">
        <v>9</v>
      </c>
      <c r="D264" t="s">
        <v>10</v>
      </c>
      <c r="E264">
        <v>1401</v>
      </c>
      <c r="F264" t="b">
        <v>1</v>
      </c>
      <c r="G264" t="str">
        <f>HYPERLINK("https://www.google.com/maps/search/?api=1&amp;query=24.5517,46.7622", "View Map")</f>
        <v>View Map</v>
      </c>
    </row>
    <row r="265" spans="1:7" x14ac:dyDescent="0.3">
      <c r="A265" t="s">
        <v>467</v>
      </c>
      <c r="B265" t="s">
        <v>468</v>
      </c>
      <c r="C265" t="s">
        <v>9</v>
      </c>
      <c r="D265" t="s">
        <v>10</v>
      </c>
      <c r="E265">
        <v>1401</v>
      </c>
      <c r="F265" t="b">
        <v>1</v>
      </c>
      <c r="G265" t="str">
        <f>HYPERLINK("https://www.google.com/maps/search/?api=1&amp;query=24.56930384,46.84492638", "View Map")</f>
        <v>View Map</v>
      </c>
    </row>
    <row r="266" spans="1:7" x14ac:dyDescent="0.3">
      <c r="A266" t="s">
        <v>159</v>
      </c>
      <c r="B266" t="s">
        <v>469</v>
      </c>
      <c r="C266" t="s">
        <v>9</v>
      </c>
      <c r="D266" t="s">
        <v>154</v>
      </c>
      <c r="E266">
        <v>1398</v>
      </c>
      <c r="F266" t="b">
        <v>1</v>
      </c>
      <c r="G266" t="str">
        <f>HYPERLINK("https://www.google.com/maps/search/?api=1&amp;query=24.68303487,46.57086891", "View Map")</f>
        <v>View Map</v>
      </c>
    </row>
    <row r="267" spans="1:7" x14ac:dyDescent="0.3">
      <c r="A267" t="s">
        <v>470</v>
      </c>
      <c r="B267" t="s">
        <v>471</v>
      </c>
      <c r="C267" t="s">
        <v>9</v>
      </c>
      <c r="D267" t="s">
        <v>10</v>
      </c>
      <c r="E267">
        <v>1397</v>
      </c>
      <c r="F267" t="b">
        <v>1</v>
      </c>
      <c r="G267" t="str">
        <f>HYPERLINK("https://www.google.com/maps/search/?api=1&amp;query=24.601876,46.648235", "View Map")</f>
        <v>View Map</v>
      </c>
    </row>
    <row r="268" spans="1:7" x14ac:dyDescent="0.3">
      <c r="A268" t="s">
        <v>27</v>
      </c>
      <c r="B268" t="s">
        <v>472</v>
      </c>
      <c r="C268" t="s">
        <v>9</v>
      </c>
      <c r="D268" t="s">
        <v>10</v>
      </c>
      <c r="E268">
        <v>1396</v>
      </c>
      <c r="F268" t="b">
        <v>1</v>
      </c>
      <c r="G268" t="str">
        <f>HYPERLINK("https://www.google.com/maps/search/?api=1&amp;query=24.83867618,46.77747984", "View Map")</f>
        <v>View Map</v>
      </c>
    </row>
    <row r="269" spans="1:7" x14ac:dyDescent="0.3">
      <c r="A269" t="s">
        <v>473</v>
      </c>
      <c r="B269" t="s">
        <v>474</v>
      </c>
      <c r="C269" t="s">
        <v>9</v>
      </c>
      <c r="D269" t="s">
        <v>10</v>
      </c>
      <c r="E269">
        <v>1392</v>
      </c>
      <c r="F269" t="b">
        <v>1</v>
      </c>
      <c r="G269" t="str">
        <f>HYPERLINK("https://www.google.com/maps/search/?api=1&amp;query=24.65884065,46.87719912", "View Map")</f>
        <v>View Map</v>
      </c>
    </row>
    <row r="270" spans="1:7" x14ac:dyDescent="0.3">
      <c r="A270" t="s">
        <v>27</v>
      </c>
      <c r="B270" t="s">
        <v>475</v>
      </c>
      <c r="C270" t="s">
        <v>9</v>
      </c>
      <c r="D270" t="s">
        <v>154</v>
      </c>
      <c r="E270">
        <v>1391</v>
      </c>
      <c r="F270" t="b">
        <v>1</v>
      </c>
      <c r="G270" t="str">
        <f>HYPERLINK("https://www.google.com/maps/search/?api=1&amp;query=24.84375129,46.79091178", "View Map")</f>
        <v>View Map</v>
      </c>
    </row>
    <row r="271" spans="1:7" x14ac:dyDescent="0.3">
      <c r="A271" t="s">
        <v>476</v>
      </c>
      <c r="B271" t="s">
        <v>477</v>
      </c>
      <c r="C271" t="s">
        <v>9</v>
      </c>
      <c r="D271" t="s">
        <v>10</v>
      </c>
      <c r="E271">
        <v>1389</v>
      </c>
      <c r="F271" t="b">
        <v>1</v>
      </c>
      <c r="G271" t="str">
        <f>HYPERLINK("https://www.google.com/maps/search/?api=1&amp;query=24.8161,46.6872", "View Map")</f>
        <v>View Map</v>
      </c>
    </row>
    <row r="272" spans="1:7" x14ac:dyDescent="0.3">
      <c r="A272" t="s">
        <v>27</v>
      </c>
      <c r="B272" t="s">
        <v>478</v>
      </c>
      <c r="C272" t="s">
        <v>9</v>
      </c>
      <c r="D272" t="s">
        <v>10</v>
      </c>
      <c r="E272">
        <v>1385</v>
      </c>
      <c r="F272" t="b">
        <v>1</v>
      </c>
      <c r="G272" t="str">
        <f>HYPERLINK("https://www.google.com/maps/search/?api=1&amp;query=0.0,0.0", "View Map")</f>
        <v>View Map</v>
      </c>
    </row>
    <row r="273" spans="1:7" x14ac:dyDescent="0.3">
      <c r="A273" t="s">
        <v>411</v>
      </c>
      <c r="B273" t="s">
        <v>479</v>
      </c>
      <c r="C273" t="s">
        <v>9</v>
      </c>
      <c r="D273" t="s">
        <v>10</v>
      </c>
      <c r="E273">
        <v>1373</v>
      </c>
      <c r="F273" t="b">
        <v>1</v>
      </c>
      <c r="G273" t="str">
        <f>HYPERLINK("https://www.google.com/maps/search/?api=1&amp;query=24.76978328,46.78655468", "View Map")</f>
        <v>View Map</v>
      </c>
    </row>
    <row r="274" spans="1:7" x14ac:dyDescent="0.3">
      <c r="A274" t="s">
        <v>480</v>
      </c>
      <c r="B274" t="s">
        <v>481</v>
      </c>
      <c r="C274" t="s">
        <v>9</v>
      </c>
      <c r="D274" t="s">
        <v>10</v>
      </c>
      <c r="E274">
        <v>1371</v>
      </c>
      <c r="F274" t="b">
        <v>1</v>
      </c>
      <c r="G274" t="str">
        <f>HYPERLINK("https://www.google.com/maps/search/?api=1&amp;query=24.6834691,46.7412753", "View Map")</f>
        <v>View Map</v>
      </c>
    </row>
    <row r="275" spans="1:7" x14ac:dyDescent="0.3">
      <c r="A275" t="s">
        <v>482</v>
      </c>
      <c r="B275" t="s">
        <v>483</v>
      </c>
      <c r="C275" t="s">
        <v>72</v>
      </c>
      <c r="D275" t="s">
        <v>10</v>
      </c>
      <c r="E275">
        <v>1369</v>
      </c>
      <c r="F275" t="b">
        <v>0</v>
      </c>
      <c r="G275" t="str">
        <f>HYPERLINK("https://www.google.com/maps/search/?api=1&amp;query=24.90549531,46.39087572", "View Map")</f>
        <v>View Map</v>
      </c>
    </row>
    <row r="276" spans="1:7" x14ac:dyDescent="0.3">
      <c r="A276" t="s">
        <v>194</v>
      </c>
      <c r="B276" t="s">
        <v>484</v>
      </c>
      <c r="C276" t="s">
        <v>9</v>
      </c>
      <c r="D276" t="s">
        <v>10</v>
      </c>
      <c r="E276">
        <v>1364</v>
      </c>
      <c r="F276" t="b">
        <v>1</v>
      </c>
      <c r="G276" t="str">
        <f>HYPERLINK("https://www.google.com/maps/search/?api=1&amp;query=24.66535291,46.72518773", "View Map")</f>
        <v>View Map</v>
      </c>
    </row>
    <row r="277" spans="1:7" x14ac:dyDescent="0.3">
      <c r="A277" t="s">
        <v>485</v>
      </c>
      <c r="B277" t="s">
        <v>486</v>
      </c>
      <c r="C277" t="s">
        <v>9</v>
      </c>
      <c r="D277" t="s">
        <v>10</v>
      </c>
      <c r="E277">
        <v>1362</v>
      </c>
      <c r="F277" t="b">
        <v>1</v>
      </c>
      <c r="G277" t="str">
        <f>HYPERLINK("https://www.google.com/maps/search/?api=1&amp;query=24.79288283,46.64229655", "View Map")</f>
        <v>View Map</v>
      </c>
    </row>
    <row r="278" spans="1:7" x14ac:dyDescent="0.3">
      <c r="A278" t="s">
        <v>487</v>
      </c>
      <c r="B278" t="s">
        <v>488</v>
      </c>
      <c r="C278" t="s">
        <v>9</v>
      </c>
      <c r="D278" t="s">
        <v>10</v>
      </c>
      <c r="E278">
        <v>1362</v>
      </c>
      <c r="F278" t="b">
        <v>1</v>
      </c>
      <c r="G278" t="str">
        <f>HYPERLINK("https://www.google.com/maps/search/?api=1&amp;query=24.5976122,46.86700742", "View Map")</f>
        <v>View Map</v>
      </c>
    </row>
    <row r="279" spans="1:7" x14ac:dyDescent="0.3">
      <c r="A279" t="s">
        <v>194</v>
      </c>
      <c r="B279" t="s">
        <v>489</v>
      </c>
      <c r="C279" t="s">
        <v>9</v>
      </c>
      <c r="D279" t="s">
        <v>10</v>
      </c>
      <c r="E279">
        <v>1362</v>
      </c>
      <c r="F279" t="b">
        <v>1</v>
      </c>
      <c r="G279" t="str">
        <f>HYPERLINK("https://www.google.com/maps/search/?api=1&amp;query=24.81083538,46.7401432", "View Map")</f>
        <v>View Map</v>
      </c>
    </row>
    <row r="280" spans="1:7" x14ac:dyDescent="0.3">
      <c r="A280" t="s">
        <v>490</v>
      </c>
      <c r="B280" t="s">
        <v>491</v>
      </c>
      <c r="C280" t="s">
        <v>9</v>
      </c>
      <c r="D280" t="s">
        <v>10</v>
      </c>
      <c r="E280">
        <v>1361</v>
      </c>
      <c r="F280" t="b">
        <v>1</v>
      </c>
      <c r="G280" t="str">
        <f>HYPERLINK("https://www.google.com/maps/search/?api=1&amp;query=24.67628728,46.77676379", "View Map")</f>
        <v>View Map</v>
      </c>
    </row>
    <row r="281" spans="1:7" x14ac:dyDescent="0.3">
      <c r="A281" t="s">
        <v>159</v>
      </c>
      <c r="B281" t="s">
        <v>492</v>
      </c>
      <c r="C281" t="s">
        <v>9</v>
      </c>
      <c r="D281" t="s">
        <v>10</v>
      </c>
      <c r="E281">
        <v>1360</v>
      </c>
      <c r="F281" t="b">
        <v>1</v>
      </c>
      <c r="G281" t="str">
        <f>HYPERLINK("https://www.google.com/maps/search/?api=1&amp;query=24.61958456,46.71918604", "View Map")</f>
        <v>View Map</v>
      </c>
    </row>
    <row r="282" spans="1:7" x14ac:dyDescent="0.3">
      <c r="A282" t="s">
        <v>493</v>
      </c>
      <c r="B282" t="s">
        <v>494</v>
      </c>
      <c r="C282" t="s">
        <v>9</v>
      </c>
      <c r="D282" t="s">
        <v>10</v>
      </c>
      <c r="E282">
        <v>1353</v>
      </c>
      <c r="F282" t="b">
        <v>1</v>
      </c>
      <c r="G282" t="str">
        <f>HYPERLINK("https://www.google.com/maps/search/?api=1&amp;query=24.69496368,46.76523926", "View Map")</f>
        <v>View Map</v>
      </c>
    </row>
    <row r="283" spans="1:7" x14ac:dyDescent="0.3">
      <c r="A283" t="s">
        <v>495</v>
      </c>
      <c r="B283" t="s">
        <v>496</v>
      </c>
      <c r="C283" t="s">
        <v>9</v>
      </c>
      <c r="D283" t="s">
        <v>10</v>
      </c>
      <c r="E283">
        <v>1353</v>
      </c>
      <c r="F283" t="b">
        <v>1</v>
      </c>
      <c r="G283" t="str">
        <f>HYPERLINK("https://www.google.com/maps/search/?api=1&amp;query=24.69948418,46.85979804", "View Map")</f>
        <v>View Map</v>
      </c>
    </row>
    <row r="284" spans="1:7" x14ac:dyDescent="0.3">
      <c r="A284" t="s">
        <v>497</v>
      </c>
      <c r="B284" t="s">
        <v>498</v>
      </c>
      <c r="C284" t="s">
        <v>9</v>
      </c>
      <c r="D284" t="s">
        <v>10</v>
      </c>
      <c r="E284">
        <v>1352</v>
      </c>
      <c r="F284" t="b">
        <v>1</v>
      </c>
      <c r="G284" t="str">
        <f>HYPERLINK("https://www.google.com/maps/search/?api=1&amp;query=24.79599263,46.62389353", "View Map")</f>
        <v>View Map</v>
      </c>
    </row>
    <row r="285" spans="1:7" x14ac:dyDescent="0.3">
      <c r="A285" t="s">
        <v>499</v>
      </c>
      <c r="B285" t="s">
        <v>500</v>
      </c>
      <c r="C285" t="s">
        <v>9</v>
      </c>
      <c r="D285" t="s">
        <v>10</v>
      </c>
      <c r="E285">
        <v>1352</v>
      </c>
      <c r="F285" t="b">
        <v>1</v>
      </c>
      <c r="G285" t="str">
        <f>HYPERLINK("https://www.google.com/maps/search/?api=1&amp;query=24.63499109,46.69101628", "View Map")</f>
        <v>View Map</v>
      </c>
    </row>
    <row r="286" spans="1:7" x14ac:dyDescent="0.3">
      <c r="A286" t="s">
        <v>501</v>
      </c>
      <c r="B286" t="s">
        <v>502</v>
      </c>
      <c r="C286" t="s">
        <v>9</v>
      </c>
      <c r="D286" t="s">
        <v>10</v>
      </c>
      <c r="E286">
        <v>1349</v>
      </c>
      <c r="F286" t="b">
        <v>1</v>
      </c>
      <c r="G286" t="str">
        <f>HYPERLINK("https://www.google.com/maps/search/?api=1&amp;query=24.76325194,46.61802798", "View Map")</f>
        <v>View Map</v>
      </c>
    </row>
    <row r="287" spans="1:7" x14ac:dyDescent="0.3">
      <c r="A287" t="s">
        <v>322</v>
      </c>
      <c r="B287" t="s">
        <v>503</v>
      </c>
      <c r="C287" t="s">
        <v>72</v>
      </c>
      <c r="D287" t="s">
        <v>10</v>
      </c>
      <c r="E287">
        <v>1348</v>
      </c>
      <c r="F287" t="b">
        <v>1</v>
      </c>
      <c r="G287" t="str">
        <f>HYPERLINK("https://www.google.com/maps/search/?api=1&amp;query=24.73795,46.57921", "View Map")</f>
        <v>View Map</v>
      </c>
    </row>
    <row r="288" spans="1:7" x14ac:dyDescent="0.3">
      <c r="A288" t="s">
        <v>504</v>
      </c>
      <c r="B288" t="s">
        <v>505</v>
      </c>
      <c r="C288" t="s">
        <v>9</v>
      </c>
      <c r="D288" t="s">
        <v>10</v>
      </c>
      <c r="E288">
        <v>1345</v>
      </c>
      <c r="F288" t="b">
        <v>1</v>
      </c>
      <c r="G288" t="str">
        <f>HYPERLINK("https://www.google.com/maps/search/?api=1&amp;query=24.58944915,46.58230989", "View Map")</f>
        <v>View Map</v>
      </c>
    </row>
    <row r="289" spans="1:7" x14ac:dyDescent="0.3">
      <c r="A289" t="s">
        <v>506</v>
      </c>
      <c r="B289" t="s">
        <v>507</v>
      </c>
      <c r="C289" t="s">
        <v>9</v>
      </c>
      <c r="D289" t="s">
        <v>10</v>
      </c>
      <c r="E289">
        <v>1345</v>
      </c>
      <c r="F289" t="b">
        <v>1</v>
      </c>
      <c r="G289" t="str">
        <f>HYPERLINK("https://www.google.com/maps/search/?api=1&amp;query=24.6224902,46.75413262", "View Map")</f>
        <v>View Map</v>
      </c>
    </row>
    <row r="290" spans="1:7" x14ac:dyDescent="0.3">
      <c r="A290" t="s">
        <v>508</v>
      </c>
      <c r="B290" t="s">
        <v>509</v>
      </c>
      <c r="C290" t="s">
        <v>9</v>
      </c>
      <c r="D290" t="s">
        <v>10</v>
      </c>
      <c r="E290">
        <v>1336</v>
      </c>
      <c r="F290" t="b">
        <v>1</v>
      </c>
      <c r="G290" t="str">
        <f>HYPERLINK("https://www.google.com/maps/search/?api=1&amp;query=24.5453159,46.66009751", "View Map")</f>
        <v>View Map</v>
      </c>
    </row>
    <row r="291" spans="1:7" x14ac:dyDescent="0.3">
      <c r="A291" t="s">
        <v>27</v>
      </c>
      <c r="B291" t="s">
        <v>510</v>
      </c>
      <c r="C291" t="s">
        <v>9</v>
      </c>
      <c r="D291" t="s">
        <v>10</v>
      </c>
      <c r="E291">
        <v>1334</v>
      </c>
      <c r="F291" t="b">
        <v>1</v>
      </c>
      <c r="G291" t="str">
        <f>HYPERLINK("https://www.google.com/maps/search/?api=1&amp;query=24.83601156,46.81241589", "View Map")</f>
        <v>View Map</v>
      </c>
    </row>
    <row r="292" spans="1:7" x14ac:dyDescent="0.3">
      <c r="A292" t="s">
        <v>511</v>
      </c>
      <c r="B292" t="s">
        <v>512</v>
      </c>
      <c r="C292" t="s">
        <v>9</v>
      </c>
      <c r="D292" t="s">
        <v>10</v>
      </c>
      <c r="E292">
        <v>1332</v>
      </c>
      <c r="F292" t="b">
        <v>1</v>
      </c>
      <c r="G292" t="str">
        <f>HYPERLINK("https://www.google.com/maps/search/?api=1&amp;query=24.57913996,46.66583556", "View Map")</f>
        <v>View Map</v>
      </c>
    </row>
    <row r="293" spans="1:7" x14ac:dyDescent="0.3">
      <c r="A293" t="s">
        <v>513</v>
      </c>
      <c r="B293" t="s">
        <v>514</v>
      </c>
      <c r="C293" t="s">
        <v>9</v>
      </c>
      <c r="D293" t="s">
        <v>10</v>
      </c>
      <c r="E293">
        <v>1329</v>
      </c>
      <c r="F293" t="b">
        <v>1</v>
      </c>
      <c r="G293" t="str">
        <f>HYPERLINK("https://www.google.com/maps/search/?api=1&amp;query=24.71303789,46.81407533", "View Map")</f>
        <v>View Map</v>
      </c>
    </row>
    <row r="294" spans="1:7" x14ac:dyDescent="0.3">
      <c r="A294" t="s">
        <v>27</v>
      </c>
      <c r="B294" t="s">
        <v>515</v>
      </c>
      <c r="C294" t="s">
        <v>9</v>
      </c>
      <c r="D294" t="s">
        <v>10</v>
      </c>
      <c r="E294">
        <v>1324</v>
      </c>
      <c r="F294" t="b">
        <v>1</v>
      </c>
      <c r="G294" t="str">
        <f>HYPERLINK("https://www.google.com/maps/search/?api=1&amp;query=24.92576238,46.82523471", "View Map")</f>
        <v>View Map</v>
      </c>
    </row>
    <row r="295" spans="1:7" x14ac:dyDescent="0.3">
      <c r="A295" t="s">
        <v>516</v>
      </c>
      <c r="B295" t="s">
        <v>517</v>
      </c>
      <c r="C295" t="s">
        <v>9</v>
      </c>
      <c r="D295" t="s">
        <v>10</v>
      </c>
      <c r="E295">
        <v>1322</v>
      </c>
      <c r="F295" t="b">
        <v>1</v>
      </c>
      <c r="G295" t="str">
        <f>HYPERLINK("https://www.google.com/maps/search/?api=1&amp;query=24.77880642,46.64982861", "View Map")</f>
        <v>View Map</v>
      </c>
    </row>
    <row r="296" spans="1:7" x14ac:dyDescent="0.3">
      <c r="A296" t="s">
        <v>518</v>
      </c>
      <c r="B296" t="s">
        <v>519</v>
      </c>
      <c r="C296" t="s">
        <v>9</v>
      </c>
      <c r="D296" t="s">
        <v>10</v>
      </c>
      <c r="E296">
        <v>1318</v>
      </c>
      <c r="F296" t="b">
        <v>1</v>
      </c>
      <c r="G296" t="str">
        <f>HYPERLINK("https://www.google.com/maps/search/?api=1&amp;query=24.68048832,46.75019139", "View Map")</f>
        <v>View Map</v>
      </c>
    </row>
    <row r="297" spans="1:7" x14ac:dyDescent="0.3">
      <c r="A297" t="s">
        <v>520</v>
      </c>
      <c r="B297" t="s">
        <v>521</v>
      </c>
      <c r="C297" t="s">
        <v>9</v>
      </c>
      <c r="D297" t="s">
        <v>10</v>
      </c>
      <c r="E297">
        <v>1317</v>
      </c>
      <c r="F297" t="b">
        <v>1</v>
      </c>
      <c r="G297" t="str">
        <f>HYPERLINK("https://www.google.com/maps/search/?api=1&amp;query=24.6197,46.59", "View Map")</f>
        <v>View Map</v>
      </c>
    </row>
    <row r="298" spans="1:7" x14ac:dyDescent="0.3">
      <c r="A298" t="s">
        <v>27</v>
      </c>
      <c r="B298" t="s">
        <v>522</v>
      </c>
      <c r="C298" t="s">
        <v>9</v>
      </c>
      <c r="D298" t="s">
        <v>10</v>
      </c>
      <c r="E298">
        <v>1314</v>
      </c>
      <c r="F298" t="b">
        <v>1</v>
      </c>
      <c r="G298" t="str">
        <f>HYPERLINK("https://www.google.com/maps/search/?api=1&amp;query=24.84452324,46.62858748", "View Map")</f>
        <v>View Map</v>
      </c>
    </row>
    <row r="299" spans="1:7" x14ac:dyDescent="0.3">
      <c r="A299" t="s">
        <v>159</v>
      </c>
      <c r="B299" t="s">
        <v>523</v>
      </c>
      <c r="C299" t="s">
        <v>9</v>
      </c>
      <c r="D299" t="s">
        <v>10</v>
      </c>
      <c r="E299">
        <v>1313</v>
      </c>
      <c r="F299" t="b">
        <v>1</v>
      </c>
      <c r="G299" t="str">
        <f>HYPERLINK("https://www.google.com/maps/search/?api=1&amp;query=24.62704288,46.70263391", "View Map")</f>
        <v>View Map</v>
      </c>
    </row>
    <row r="300" spans="1:7" x14ac:dyDescent="0.3">
      <c r="A300" t="s">
        <v>524</v>
      </c>
      <c r="B300" t="s">
        <v>525</v>
      </c>
      <c r="C300" t="s">
        <v>9</v>
      </c>
      <c r="D300" t="s">
        <v>10</v>
      </c>
      <c r="E300">
        <v>1310</v>
      </c>
      <c r="F300" t="b">
        <v>1</v>
      </c>
      <c r="G300" t="str">
        <f>HYPERLINK("https://www.google.com/maps/search/?api=1&amp;query=24.73298,46.65794", "View Map")</f>
        <v>View Map</v>
      </c>
    </row>
    <row r="301" spans="1:7" x14ac:dyDescent="0.3">
      <c r="A301" t="s">
        <v>27</v>
      </c>
      <c r="B301" t="s">
        <v>526</v>
      </c>
      <c r="C301" t="s">
        <v>9</v>
      </c>
      <c r="D301" t="s">
        <v>10</v>
      </c>
      <c r="E301">
        <v>1309</v>
      </c>
      <c r="F301" t="b">
        <v>1</v>
      </c>
      <c r="G301" t="str">
        <f>HYPERLINK("https://www.google.com/maps/search/?api=1&amp;query=24.81437163,46.68478694", "View Map")</f>
        <v>View Map</v>
      </c>
    </row>
    <row r="302" spans="1:7" x14ac:dyDescent="0.3">
      <c r="A302" t="s">
        <v>27</v>
      </c>
      <c r="B302" t="s">
        <v>527</v>
      </c>
      <c r="C302" t="s">
        <v>9</v>
      </c>
      <c r="D302" t="s">
        <v>10</v>
      </c>
      <c r="E302">
        <v>1301</v>
      </c>
      <c r="F302" t="b">
        <v>1</v>
      </c>
      <c r="G302" t="str">
        <f>HYPERLINK("https://www.google.com/maps/search/?api=1&amp;query=24.8259204,46.58849274", "View Map")</f>
        <v>View Map</v>
      </c>
    </row>
    <row r="303" spans="1:7" x14ac:dyDescent="0.3">
      <c r="A303" t="s">
        <v>528</v>
      </c>
      <c r="B303" t="s">
        <v>529</v>
      </c>
      <c r="C303" t="s">
        <v>9</v>
      </c>
      <c r="D303" t="s">
        <v>10</v>
      </c>
      <c r="E303">
        <v>1297</v>
      </c>
      <c r="F303" t="b">
        <v>1</v>
      </c>
      <c r="G303" t="str">
        <f>HYPERLINK("https://www.google.com/maps/search/?api=1&amp;query=24.65996461,46.74198876", "View Map")</f>
        <v>View Map</v>
      </c>
    </row>
    <row r="304" spans="1:7" x14ac:dyDescent="0.3">
      <c r="A304" t="s">
        <v>27</v>
      </c>
      <c r="B304" t="s">
        <v>530</v>
      </c>
      <c r="C304" t="s">
        <v>9</v>
      </c>
      <c r="D304" t="s">
        <v>10</v>
      </c>
      <c r="E304">
        <v>1296</v>
      </c>
      <c r="F304" t="b">
        <v>1</v>
      </c>
      <c r="G304" t="str">
        <f>HYPERLINK("https://www.google.com/maps/search/?api=1&amp;query=24.83307,46.68694", "View Map")</f>
        <v>View Map</v>
      </c>
    </row>
    <row r="305" spans="1:7" x14ac:dyDescent="0.3">
      <c r="A305" t="s">
        <v>67</v>
      </c>
      <c r="B305" t="s">
        <v>531</v>
      </c>
      <c r="C305" t="s">
        <v>9</v>
      </c>
      <c r="D305" t="s">
        <v>10</v>
      </c>
      <c r="E305">
        <v>1295</v>
      </c>
      <c r="F305" t="b">
        <v>1</v>
      </c>
      <c r="G305" t="str">
        <f>HYPERLINK("https://www.google.com/maps/search/?api=1&amp;query=24.7861178,46.79299834", "View Map")</f>
        <v>View Map</v>
      </c>
    </row>
    <row r="306" spans="1:7" x14ac:dyDescent="0.3">
      <c r="A306" t="s">
        <v>532</v>
      </c>
      <c r="B306" t="s">
        <v>533</v>
      </c>
      <c r="C306" t="s">
        <v>9</v>
      </c>
      <c r="D306" t="s">
        <v>10</v>
      </c>
      <c r="E306">
        <v>1294</v>
      </c>
      <c r="F306" t="b">
        <v>1</v>
      </c>
      <c r="G306" t="str">
        <f>HYPERLINK("https://www.google.com/maps/search/?api=1&amp;query=24.5919537,46.7471375", "View Map")</f>
        <v>View Map</v>
      </c>
    </row>
    <row r="307" spans="1:7" x14ac:dyDescent="0.3">
      <c r="A307" t="s">
        <v>534</v>
      </c>
      <c r="B307" t="s">
        <v>535</v>
      </c>
      <c r="C307" t="s">
        <v>9</v>
      </c>
      <c r="D307" t="s">
        <v>10</v>
      </c>
      <c r="E307">
        <v>1292</v>
      </c>
      <c r="F307" t="b">
        <v>1</v>
      </c>
      <c r="G307" t="str">
        <f>HYPERLINK("https://www.google.com/maps/search/?api=1&amp;query=24.69856028,46.78649476", "View Map")</f>
        <v>View Map</v>
      </c>
    </row>
    <row r="308" spans="1:7" x14ac:dyDescent="0.3">
      <c r="A308" t="s">
        <v>536</v>
      </c>
      <c r="B308" t="s">
        <v>537</v>
      </c>
      <c r="C308" t="s">
        <v>9</v>
      </c>
      <c r="D308" t="s">
        <v>10</v>
      </c>
      <c r="E308">
        <v>1285</v>
      </c>
      <c r="F308" t="b">
        <v>1</v>
      </c>
      <c r="G308" t="str">
        <f>HYPERLINK("https://www.google.com/maps/search/?api=1&amp;query=24.72106303,46.78516465", "View Map")</f>
        <v>View Map</v>
      </c>
    </row>
    <row r="309" spans="1:7" x14ac:dyDescent="0.3">
      <c r="A309" t="s">
        <v>538</v>
      </c>
      <c r="B309" t="s">
        <v>539</v>
      </c>
      <c r="C309" t="s">
        <v>9</v>
      </c>
      <c r="D309" t="s">
        <v>10</v>
      </c>
      <c r="E309">
        <v>1283</v>
      </c>
      <c r="F309" t="b">
        <v>1</v>
      </c>
      <c r="G309" t="str">
        <f>HYPERLINK("https://www.google.com/maps/search/?api=1&amp;query=24.75528654,46.80413415", "View Map")</f>
        <v>View Map</v>
      </c>
    </row>
    <row r="310" spans="1:7" x14ac:dyDescent="0.3">
      <c r="A310" t="s">
        <v>27</v>
      </c>
      <c r="B310" t="s">
        <v>540</v>
      </c>
      <c r="C310" t="s">
        <v>9</v>
      </c>
      <c r="D310" t="s">
        <v>10</v>
      </c>
      <c r="E310">
        <v>1282</v>
      </c>
      <c r="F310" t="b">
        <v>1</v>
      </c>
      <c r="G310" t="str">
        <f>HYPERLINK("https://www.google.com/maps/search/?api=1&amp;query=24.86718667,46.63469465", "View Map")</f>
        <v>View Map</v>
      </c>
    </row>
    <row r="311" spans="1:7" x14ac:dyDescent="0.3">
      <c r="A311" t="s">
        <v>541</v>
      </c>
      <c r="B311" t="s">
        <v>542</v>
      </c>
      <c r="C311" t="s">
        <v>9</v>
      </c>
      <c r="D311" t="s">
        <v>10</v>
      </c>
      <c r="E311">
        <v>1281</v>
      </c>
      <c r="F311" t="b">
        <v>1</v>
      </c>
      <c r="G311" t="str">
        <f>HYPERLINK("https://www.google.com/maps/search/?api=1&amp;query=24.58751513,46.66182911", "View Map")</f>
        <v>View Map</v>
      </c>
    </row>
    <row r="312" spans="1:7" x14ac:dyDescent="0.3">
      <c r="A312" t="s">
        <v>27</v>
      </c>
      <c r="B312" t="s">
        <v>543</v>
      </c>
      <c r="C312" t="s">
        <v>9</v>
      </c>
      <c r="D312" t="s">
        <v>10</v>
      </c>
      <c r="E312">
        <v>1281</v>
      </c>
      <c r="F312" t="b">
        <v>1</v>
      </c>
      <c r="G312" t="str">
        <f>HYPERLINK("https://www.google.com/maps/search/?api=1&amp;query=24.84435305,46.80595562", "View Map")</f>
        <v>View Map</v>
      </c>
    </row>
    <row r="313" spans="1:7" x14ac:dyDescent="0.3">
      <c r="A313" t="s">
        <v>544</v>
      </c>
      <c r="B313" t="s">
        <v>545</v>
      </c>
      <c r="C313" t="s">
        <v>9</v>
      </c>
      <c r="D313" t="s">
        <v>10</v>
      </c>
      <c r="E313">
        <v>1280</v>
      </c>
      <c r="F313" t="b">
        <v>1</v>
      </c>
      <c r="G313" t="str">
        <f>HYPERLINK("https://www.google.com/maps/search/?api=1&amp;query=24.68594,46.6705", "View Map")</f>
        <v>View Map</v>
      </c>
    </row>
    <row r="314" spans="1:7" x14ac:dyDescent="0.3">
      <c r="A314" t="s">
        <v>546</v>
      </c>
      <c r="B314" t="s">
        <v>547</v>
      </c>
      <c r="C314" t="s">
        <v>9</v>
      </c>
      <c r="D314" t="s">
        <v>10</v>
      </c>
      <c r="E314">
        <v>1280</v>
      </c>
      <c r="F314" t="b">
        <v>1</v>
      </c>
      <c r="G314" t="str">
        <f>HYPERLINK("https://www.google.com/maps/search/?api=1&amp;query=24.5919537,46.7471375", "View Map")</f>
        <v>View Map</v>
      </c>
    </row>
    <row r="315" spans="1:7" x14ac:dyDescent="0.3">
      <c r="A315" t="s">
        <v>548</v>
      </c>
      <c r="B315" t="s">
        <v>549</v>
      </c>
      <c r="C315" t="s">
        <v>9</v>
      </c>
      <c r="D315" t="s">
        <v>10</v>
      </c>
      <c r="E315">
        <v>1278</v>
      </c>
      <c r="F315" t="b">
        <v>1</v>
      </c>
      <c r="G315" t="str">
        <f>HYPERLINK("https://www.google.com/maps/search/?api=1&amp;query=24.68685741,46.85477145", "View Map")</f>
        <v>View Map</v>
      </c>
    </row>
    <row r="316" spans="1:7" x14ac:dyDescent="0.3">
      <c r="A316" t="s">
        <v>550</v>
      </c>
      <c r="B316" t="s">
        <v>551</v>
      </c>
      <c r="C316" t="s">
        <v>9</v>
      </c>
      <c r="D316" t="s">
        <v>10</v>
      </c>
      <c r="E316">
        <v>1276</v>
      </c>
      <c r="F316" t="b">
        <v>1</v>
      </c>
      <c r="G316" t="str">
        <f>HYPERLINK("https://www.google.com/maps/search/?api=1&amp;query=24.75799798,46.75921396", "View Map")</f>
        <v>View Map</v>
      </c>
    </row>
    <row r="317" spans="1:7" x14ac:dyDescent="0.3">
      <c r="A317" t="s">
        <v>19</v>
      </c>
      <c r="B317" t="s">
        <v>552</v>
      </c>
      <c r="C317" t="s">
        <v>9</v>
      </c>
      <c r="D317" t="s">
        <v>154</v>
      </c>
      <c r="E317">
        <v>1271</v>
      </c>
      <c r="F317" t="b">
        <v>1</v>
      </c>
      <c r="G317" t="str">
        <f>HYPERLINK("https://www.google.com/maps/search/?api=1&amp;query=24.82120776,46.60274635", "View Map")</f>
        <v>View Map</v>
      </c>
    </row>
    <row r="318" spans="1:7" x14ac:dyDescent="0.3">
      <c r="A318" t="s">
        <v>553</v>
      </c>
      <c r="B318" t="s">
        <v>554</v>
      </c>
      <c r="C318" t="s">
        <v>9</v>
      </c>
      <c r="D318" t="s">
        <v>10</v>
      </c>
      <c r="E318">
        <v>1270</v>
      </c>
      <c r="F318" t="b">
        <v>1</v>
      </c>
      <c r="G318" t="str">
        <f>HYPERLINK("https://www.google.com/maps/search/?api=1&amp;query=24.71807026,46.83111536", "View Map")</f>
        <v>View Map</v>
      </c>
    </row>
    <row r="319" spans="1:7" x14ac:dyDescent="0.3">
      <c r="A319" t="s">
        <v>555</v>
      </c>
      <c r="B319" t="s">
        <v>556</v>
      </c>
      <c r="C319" t="s">
        <v>9</v>
      </c>
      <c r="D319" t="s">
        <v>10</v>
      </c>
      <c r="E319">
        <v>1266</v>
      </c>
      <c r="F319" t="b">
        <v>1</v>
      </c>
      <c r="G319" t="str">
        <f>HYPERLINK("https://www.google.com/maps/search/?api=1&amp;query=24.76381798,46.66711131", "View Map")</f>
        <v>View Map</v>
      </c>
    </row>
    <row r="320" spans="1:7" x14ac:dyDescent="0.3">
      <c r="A320" t="s">
        <v>557</v>
      </c>
      <c r="B320" t="s">
        <v>558</v>
      </c>
      <c r="C320" t="s">
        <v>9</v>
      </c>
      <c r="D320" t="s">
        <v>10</v>
      </c>
      <c r="E320">
        <v>1265</v>
      </c>
      <c r="F320" t="b">
        <v>1</v>
      </c>
      <c r="G320" t="str">
        <f>HYPERLINK("https://www.google.com/maps/search/?api=1&amp;query=24.69087579,46.6892298", "View Map")</f>
        <v>View Map</v>
      </c>
    </row>
    <row r="321" spans="1:7" x14ac:dyDescent="0.3">
      <c r="A321" t="s">
        <v>27</v>
      </c>
      <c r="B321" t="s">
        <v>559</v>
      </c>
      <c r="C321" t="s">
        <v>9</v>
      </c>
      <c r="D321" t="s">
        <v>10</v>
      </c>
      <c r="E321">
        <v>1265</v>
      </c>
      <c r="F321" t="b">
        <v>1</v>
      </c>
      <c r="G321" t="str">
        <f>HYPERLINK("https://www.google.com/maps/search/?api=1&amp;query=24.85203405,46.82693237", "View Map")</f>
        <v>View Map</v>
      </c>
    </row>
    <row r="322" spans="1:7" x14ac:dyDescent="0.3">
      <c r="A322" t="s">
        <v>560</v>
      </c>
      <c r="B322" t="s">
        <v>561</v>
      </c>
      <c r="C322" t="s">
        <v>9</v>
      </c>
      <c r="D322" t="s">
        <v>10</v>
      </c>
      <c r="E322">
        <v>1263</v>
      </c>
      <c r="F322" t="b">
        <v>1</v>
      </c>
      <c r="G322" t="str">
        <f>HYPERLINK("https://www.google.com/maps/search/?api=1&amp;query=24.5641861,46.79203736", "View Map")</f>
        <v>View Map</v>
      </c>
    </row>
    <row r="323" spans="1:7" x14ac:dyDescent="0.3">
      <c r="A323" t="s">
        <v>562</v>
      </c>
      <c r="B323" t="s">
        <v>563</v>
      </c>
      <c r="C323" t="s">
        <v>9</v>
      </c>
      <c r="D323" t="s">
        <v>10</v>
      </c>
      <c r="E323">
        <v>1262</v>
      </c>
      <c r="F323" t="b">
        <v>1</v>
      </c>
      <c r="G323" t="str">
        <f>HYPERLINK("https://www.google.com/maps/search/?api=1&amp;query=24.76530146,46.62392789", "View Map")</f>
        <v>View Map</v>
      </c>
    </row>
    <row r="324" spans="1:7" x14ac:dyDescent="0.3">
      <c r="A324" t="s">
        <v>564</v>
      </c>
      <c r="B324" t="s">
        <v>565</v>
      </c>
      <c r="C324" t="s">
        <v>9</v>
      </c>
      <c r="D324" t="s">
        <v>10</v>
      </c>
      <c r="E324">
        <v>1260</v>
      </c>
      <c r="F324" t="b">
        <v>1</v>
      </c>
      <c r="G324" t="str">
        <f>HYPERLINK("https://www.google.com/maps/search/?api=1&amp;query=24.76467804,46.82075889", "View Map")</f>
        <v>View Map</v>
      </c>
    </row>
    <row r="325" spans="1:7" x14ac:dyDescent="0.3">
      <c r="A325" t="s">
        <v>566</v>
      </c>
      <c r="B325" t="s">
        <v>567</v>
      </c>
      <c r="C325" t="s">
        <v>9</v>
      </c>
      <c r="D325" t="s">
        <v>154</v>
      </c>
      <c r="E325">
        <v>1256</v>
      </c>
      <c r="F325" t="b">
        <v>1</v>
      </c>
      <c r="G325" t="str">
        <f>HYPERLINK("https://www.google.com/maps/search/?api=1&amp;query=24.59429692,46.77229409", "View Map")</f>
        <v>View Map</v>
      </c>
    </row>
    <row r="326" spans="1:7" x14ac:dyDescent="0.3">
      <c r="A326" t="s">
        <v>27</v>
      </c>
      <c r="B326" t="s">
        <v>568</v>
      </c>
      <c r="C326" t="s">
        <v>9</v>
      </c>
      <c r="D326" t="s">
        <v>10</v>
      </c>
      <c r="E326">
        <v>1251</v>
      </c>
      <c r="F326" t="b">
        <v>1</v>
      </c>
      <c r="G326" t="str">
        <f>HYPERLINK("https://www.google.com/maps/search/?api=1&amp;query=24.83262768,46.81771632", "View Map")</f>
        <v>View Map</v>
      </c>
    </row>
    <row r="327" spans="1:7" x14ac:dyDescent="0.3">
      <c r="A327" t="s">
        <v>569</v>
      </c>
      <c r="B327" t="s">
        <v>570</v>
      </c>
      <c r="C327" t="s">
        <v>9</v>
      </c>
      <c r="D327" t="s">
        <v>10</v>
      </c>
      <c r="E327">
        <v>1251</v>
      </c>
      <c r="F327" t="b">
        <v>1</v>
      </c>
      <c r="G327" t="str">
        <f>HYPERLINK("https://www.google.com/maps/search/?api=1&amp;query=24.57608323,46.83532588", "View Map")</f>
        <v>View Map</v>
      </c>
    </row>
    <row r="328" spans="1:7" x14ac:dyDescent="0.3">
      <c r="A328" t="s">
        <v>27</v>
      </c>
      <c r="B328" t="s">
        <v>571</v>
      </c>
      <c r="C328" t="s">
        <v>9</v>
      </c>
      <c r="D328" t="s">
        <v>10</v>
      </c>
      <c r="E328">
        <v>1250</v>
      </c>
      <c r="F328" t="b">
        <v>1</v>
      </c>
      <c r="G328" t="str">
        <f>HYPERLINK("https://www.google.com/maps/search/?api=1&amp;query=24.7822977,46.8353532", "View Map")</f>
        <v>View Map</v>
      </c>
    </row>
    <row r="329" spans="1:7" x14ac:dyDescent="0.3">
      <c r="A329" t="s">
        <v>572</v>
      </c>
      <c r="B329" t="s">
        <v>573</v>
      </c>
      <c r="C329" t="s">
        <v>9</v>
      </c>
      <c r="D329" t="s">
        <v>10</v>
      </c>
      <c r="E329">
        <v>1249</v>
      </c>
      <c r="F329" t="b">
        <v>1</v>
      </c>
      <c r="G329" t="str">
        <f>HYPERLINK("https://www.google.com/maps/search/?api=1&amp;query=24.5919537,46.7471375", "View Map")</f>
        <v>View Map</v>
      </c>
    </row>
    <row r="330" spans="1:7" x14ac:dyDescent="0.3">
      <c r="A330" t="s">
        <v>27</v>
      </c>
      <c r="B330" t="s">
        <v>574</v>
      </c>
      <c r="C330" t="s">
        <v>9</v>
      </c>
      <c r="D330" t="s">
        <v>10</v>
      </c>
      <c r="E330">
        <v>1247</v>
      </c>
      <c r="F330" t="b">
        <v>1</v>
      </c>
      <c r="G330" t="str">
        <f>HYPERLINK("https://www.google.com/maps/search/?api=1&amp;query=24.64417295,46.79255834", "View Map")</f>
        <v>View Map</v>
      </c>
    </row>
    <row r="331" spans="1:7" x14ac:dyDescent="0.3">
      <c r="A331" t="s">
        <v>575</v>
      </c>
      <c r="B331" t="s">
        <v>576</v>
      </c>
      <c r="C331" t="s">
        <v>9</v>
      </c>
      <c r="D331" t="s">
        <v>10</v>
      </c>
      <c r="E331">
        <v>1246</v>
      </c>
      <c r="F331" t="b">
        <v>1</v>
      </c>
      <c r="G331" t="str">
        <f>HYPERLINK("https://www.google.com/maps/search/?api=1&amp;query=24.7915941,46.65051766", "View Map")</f>
        <v>View Map</v>
      </c>
    </row>
    <row r="332" spans="1:7" x14ac:dyDescent="0.3">
      <c r="A332" t="s">
        <v>159</v>
      </c>
      <c r="B332" t="s">
        <v>577</v>
      </c>
      <c r="C332" t="s">
        <v>9</v>
      </c>
      <c r="D332" t="s">
        <v>10</v>
      </c>
      <c r="E332">
        <v>1241</v>
      </c>
      <c r="F332" t="b">
        <v>1</v>
      </c>
      <c r="G332" t="str">
        <f>HYPERLINK("https://www.google.com/maps/search/?api=1&amp;query=24.6125,46.7017", "View Map")</f>
        <v>View Map</v>
      </c>
    </row>
    <row r="333" spans="1:7" x14ac:dyDescent="0.3">
      <c r="A333" t="s">
        <v>578</v>
      </c>
      <c r="B333" t="s">
        <v>579</v>
      </c>
      <c r="C333" t="s">
        <v>9</v>
      </c>
      <c r="D333" t="s">
        <v>10</v>
      </c>
      <c r="E333">
        <v>1236</v>
      </c>
      <c r="F333" t="b">
        <v>1</v>
      </c>
      <c r="G333" t="str">
        <f>HYPERLINK("https://www.google.com/maps/search/?api=1&amp;query=24.81032301,46.61099192", "View Map")</f>
        <v>View Map</v>
      </c>
    </row>
    <row r="334" spans="1:7" x14ac:dyDescent="0.3">
      <c r="A334" t="s">
        <v>580</v>
      </c>
      <c r="B334" t="s">
        <v>581</v>
      </c>
      <c r="C334" t="s">
        <v>9</v>
      </c>
      <c r="D334" t="s">
        <v>10</v>
      </c>
      <c r="E334">
        <v>1235</v>
      </c>
      <c r="F334" t="b">
        <v>1</v>
      </c>
      <c r="G334" t="str">
        <f>HYPERLINK("https://www.google.com/maps/search/?api=1&amp;query=24.79523579,46.73767582", "View Map")</f>
        <v>View Map</v>
      </c>
    </row>
    <row r="335" spans="1:7" x14ac:dyDescent="0.3">
      <c r="A335" t="s">
        <v>582</v>
      </c>
      <c r="B335" t="s">
        <v>583</v>
      </c>
      <c r="C335" t="s">
        <v>9</v>
      </c>
      <c r="D335" t="s">
        <v>10</v>
      </c>
      <c r="E335">
        <v>1232</v>
      </c>
      <c r="F335" t="b">
        <v>1</v>
      </c>
      <c r="G335" t="str">
        <f>HYPERLINK("https://www.google.com/maps/search/?api=1&amp;query=24.70428071,46.67103887", "View Map")</f>
        <v>View Map</v>
      </c>
    </row>
    <row r="336" spans="1:7" x14ac:dyDescent="0.3">
      <c r="A336" t="s">
        <v>27</v>
      </c>
      <c r="B336" t="s">
        <v>584</v>
      </c>
      <c r="C336" t="s">
        <v>72</v>
      </c>
      <c r="D336" t="s">
        <v>10</v>
      </c>
      <c r="E336">
        <v>1232</v>
      </c>
      <c r="F336" t="b">
        <v>1</v>
      </c>
      <c r="G336" t="str">
        <f>HYPERLINK("https://www.google.com/maps/search/?api=1&amp;query=24.7814,46.5739", "View Map")</f>
        <v>View Map</v>
      </c>
    </row>
    <row r="337" spans="1:7" x14ac:dyDescent="0.3">
      <c r="A337" t="s">
        <v>19</v>
      </c>
      <c r="B337" t="s">
        <v>585</v>
      </c>
      <c r="C337" t="s">
        <v>9</v>
      </c>
      <c r="D337" t="s">
        <v>10</v>
      </c>
      <c r="E337">
        <v>1231</v>
      </c>
      <c r="F337" t="b">
        <v>1</v>
      </c>
      <c r="G337" t="str">
        <f>HYPERLINK("https://www.google.com/maps/search/?api=1&amp;query=24.63540454,46.55433271", "View Map")</f>
        <v>View Map</v>
      </c>
    </row>
    <row r="338" spans="1:7" x14ac:dyDescent="0.3">
      <c r="A338" t="s">
        <v>586</v>
      </c>
      <c r="B338" t="s">
        <v>587</v>
      </c>
      <c r="C338" t="s">
        <v>9</v>
      </c>
      <c r="D338" t="s">
        <v>10</v>
      </c>
      <c r="E338">
        <v>1227</v>
      </c>
      <c r="F338" t="b">
        <v>1</v>
      </c>
      <c r="G338" t="str">
        <f>HYPERLINK("https://www.google.com/maps/search/?api=1&amp;query=24.80040817,46.61245204", "View Map")</f>
        <v>View Map</v>
      </c>
    </row>
    <row r="339" spans="1:7" x14ac:dyDescent="0.3">
      <c r="A339" t="s">
        <v>588</v>
      </c>
      <c r="B339" t="s">
        <v>589</v>
      </c>
      <c r="C339" t="s">
        <v>9</v>
      </c>
      <c r="D339" t="s">
        <v>10</v>
      </c>
      <c r="E339">
        <v>1226</v>
      </c>
      <c r="F339" t="b">
        <v>1</v>
      </c>
      <c r="G339" t="str">
        <f>HYPERLINK("https://www.google.com/maps/search/?api=1&amp;query=24.77321573,46.64560772", "View Map")</f>
        <v>View Map</v>
      </c>
    </row>
    <row r="340" spans="1:7" x14ac:dyDescent="0.3">
      <c r="A340" t="s">
        <v>159</v>
      </c>
      <c r="B340" t="s">
        <v>590</v>
      </c>
      <c r="C340" t="s">
        <v>9</v>
      </c>
      <c r="D340" t="s">
        <v>154</v>
      </c>
      <c r="E340">
        <v>1223</v>
      </c>
      <c r="F340" t="b">
        <v>1</v>
      </c>
      <c r="G340" t="str">
        <f>HYPERLINK("https://www.google.com/maps/search/?api=1&amp;query=24.56339244,46.59136083", "View Map")</f>
        <v>View Map</v>
      </c>
    </row>
    <row r="341" spans="1:7" x14ac:dyDescent="0.3">
      <c r="A341" t="s">
        <v>591</v>
      </c>
      <c r="B341" t="s">
        <v>592</v>
      </c>
      <c r="C341" t="s">
        <v>9</v>
      </c>
      <c r="D341" t="s">
        <v>10</v>
      </c>
      <c r="E341">
        <v>1223</v>
      </c>
      <c r="F341" t="b">
        <v>1</v>
      </c>
      <c r="G341" t="str">
        <f>HYPERLINK("https://www.google.com/maps/search/?api=1&amp;query=24.69341833,46.70865915", "View Map")</f>
        <v>View Map</v>
      </c>
    </row>
    <row r="342" spans="1:7" x14ac:dyDescent="0.3">
      <c r="A342" t="s">
        <v>593</v>
      </c>
      <c r="B342" t="s">
        <v>594</v>
      </c>
      <c r="C342" t="s">
        <v>9</v>
      </c>
      <c r="D342" t="s">
        <v>10</v>
      </c>
      <c r="E342">
        <v>1220</v>
      </c>
      <c r="F342" t="b">
        <v>1</v>
      </c>
      <c r="G342" t="str">
        <f>HYPERLINK("https://www.google.com/maps/search/?api=1&amp;query=24.73725396,46.80359199", "View Map")</f>
        <v>View Map</v>
      </c>
    </row>
    <row r="343" spans="1:7" x14ac:dyDescent="0.3">
      <c r="A343" t="s">
        <v>595</v>
      </c>
      <c r="B343" t="s">
        <v>596</v>
      </c>
      <c r="C343" t="s">
        <v>9</v>
      </c>
      <c r="D343" t="s">
        <v>10</v>
      </c>
      <c r="E343">
        <v>1218</v>
      </c>
      <c r="F343" t="b">
        <v>1</v>
      </c>
      <c r="G343" t="str">
        <f>HYPERLINK("https://www.google.com/maps/search/?api=1&amp;query=24.74151075,46.82299896", "View Map")</f>
        <v>View Map</v>
      </c>
    </row>
    <row r="344" spans="1:7" x14ac:dyDescent="0.3">
      <c r="A344" t="s">
        <v>597</v>
      </c>
      <c r="B344" t="s">
        <v>598</v>
      </c>
      <c r="C344" t="s">
        <v>9</v>
      </c>
      <c r="D344" t="s">
        <v>10</v>
      </c>
      <c r="E344">
        <v>1217</v>
      </c>
      <c r="F344" t="b">
        <v>1</v>
      </c>
      <c r="G344" t="str">
        <f>HYPERLINK("https://www.google.com/maps/search/?api=1&amp;query=24.818616,46.88765731", "View Map")</f>
        <v>View Map</v>
      </c>
    </row>
    <row r="345" spans="1:7" x14ac:dyDescent="0.3">
      <c r="A345" t="s">
        <v>599</v>
      </c>
      <c r="B345" t="s">
        <v>600</v>
      </c>
      <c r="C345" t="s">
        <v>9</v>
      </c>
      <c r="D345" t="s">
        <v>10</v>
      </c>
      <c r="E345">
        <v>1216</v>
      </c>
      <c r="F345" t="b">
        <v>1</v>
      </c>
      <c r="G345" t="str">
        <f>HYPERLINK("https://www.google.com/maps/search/?api=1&amp;query=24.78505252,46.75259701", "View Map")</f>
        <v>View Map</v>
      </c>
    </row>
    <row r="346" spans="1:7" x14ac:dyDescent="0.3">
      <c r="A346" t="s">
        <v>601</v>
      </c>
      <c r="B346" t="s">
        <v>602</v>
      </c>
      <c r="C346" t="s">
        <v>9</v>
      </c>
      <c r="D346" t="s">
        <v>10</v>
      </c>
      <c r="E346">
        <v>1215</v>
      </c>
      <c r="F346" t="b">
        <v>1</v>
      </c>
      <c r="G346" t="str">
        <f>HYPERLINK("https://www.google.com/maps/search/?api=1&amp;query=24.68620666,46.58833388", "View Map")</f>
        <v>View Map</v>
      </c>
    </row>
    <row r="347" spans="1:7" x14ac:dyDescent="0.3">
      <c r="A347" t="s">
        <v>603</v>
      </c>
      <c r="B347" t="s">
        <v>604</v>
      </c>
      <c r="C347" t="s">
        <v>9</v>
      </c>
      <c r="D347" t="s">
        <v>10</v>
      </c>
      <c r="E347">
        <v>1210</v>
      </c>
      <c r="F347" t="b">
        <v>1</v>
      </c>
      <c r="G347" t="str">
        <f>HYPERLINK("https://www.google.com/maps/search/?api=1&amp;query=24.68219483,46.79184304", "View Map")</f>
        <v>View Map</v>
      </c>
    </row>
    <row r="348" spans="1:7" x14ac:dyDescent="0.3">
      <c r="A348" t="s">
        <v>605</v>
      </c>
      <c r="B348" t="s">
        <v>606</v>
      </c>
      <c r="C348" t="s">
        <v>9</v>
      </c>
      <c r="D348" t="s">
        <v>10</v>
      </c>
      <c r="E348">
        <v>1210</v>
      </c>
      <c r="F348" t="b">
        <v>1</v>
      </c>
      <c r="G348" t="str">
        <f>HYPERLINK("https://www.google.com/maps/search/?api=1&amp;query=24.67939988,46.66350969", "View Map")</f>
        <v>View Map</v>
      </c>
    </row>
    <row r="349" spans="1:7" x14ac:dyDescent="0.3">
      <c r="A349" t="s">
        <v>607</v>
      </c>
      <c r="B349" t="s">
        <v>608</v>
      </c>
      <c r="C349" t="s">
        <v>9</v>
      </c>
      <c r="D349" t="s">
        <v>10</v>
      </c>
      <c r="E349">
        <v>1210</v>
      </c>
      <c r="F349" t="b">
        <v>1</v>
      </c>
      <c r="G349" t="str">
        <f>HYPERLINK("https://www.google.com/maps/search/?api=1&amp;query=24.52840106,46.70179337", "View Map")</f>
        <v>View Map</v>
      </c>
    </row>
    <row r="350" spans="1:7" x14ac:dyDescent="0.3">
      <c r="A350" t="s">
        <v>609</v>
      </c>
      <c r="B350" t="s">
        <v>610</v>
      </c>
      <c r="C350" t="s">
        <v>9</v>
      </c>
      <c r="D350" t="s">
        <v>10</v>
      </c>
      <c r="E350">
        <v>1209</v>
      </c>
      <c r="F350" t="b">
        <v>1</v>
      </c>
      <c r="G350" t="str">
        <f>HYPERLINK("https://www.google.com/maps/search/?api=1&amp;query=24.60534966,46.75245119", "View Map")</f>
        <v>View Map</v>
      </c>
    </row>
    <row r="351" spans="1:7" x14ac:dyDescent="0.3">
      <c r="A351" t="s">
        <v>27</v>
      </c>
      <c r="B351" t="s">
        <v>611</v>
      </c>
      <c r="C351" t="s">
        <v>9</v>
      </c>
      <c r="D351" t="s">
        <v>10</v>
      </c>
      <c r="E351">
        <v>1209</v>
      </c>
      <c r="F351" t="b">
        <v>1</v>
      </c>
      <c r="G351" t="str">
        <f>HYPERLINK("https://www.google.com/maps/search/?api=1&amp;query=24.62811641,46.52462515", "View Map")</f>
        <v>View Map</v>
      </c>
    </row>
    <row r="352" spans="1:7" x14ac:dyDescent="0.3">
      <c r="A352" t="s">
        <v>612</v>
      </c>
      <c r="B352" t="s">
        <v>613</v>
      </c>
      <c r="C352" t="s">
        <v>9</v>
      </c>
      <c r="D352" t="s">
        <v>10</v>
      </c>
      <c r="E352">
        <v>1207</v>
      </c>
      <c r="F352" t="b">
        <v>1</v>
      </c>
      <c r="G352" t="str">
        <f>HYPERLINK("https://www.google.com/maps/search/?api=1&amp;query=24.71878225,46.7552068", "View Map")</f>
        <v>View Map</v>
      </c>
    </row>
    <row r="353" spans="1:7" x14ac:dyDescent="0.3">
      <c r="A353" t="s">
        <v>614</v>
      </c>
      <c r="B353" t="s">
        <v>615</v>
      </c>
      <c r="C353" t="s">
        <v>9</v>
      </c>
      <c r="D353" t="s">
        <v>10</v>
      </c>
      <c r="E353">
        <v>1207</v>
      </c>
      <c r="F353" t="b">
        <v>1</v>
      </c>
      <c r="G353" t="str">
        <f>HYPERLINK("https://www.google.com/maps/search/?api=1&amp;query=24.71462786,46.80416291", "View Map")</f>
        <v>View Map</v>
      </c>
    </row>
    <row r="354" spans="1:7" x14ac:dyDescent="0.3">
      <c r="A354" t="s">
        <v>616</v>
      </c>
      <c r="B354" t="s">
        <v>617</v>
      </c>
      <c r="C354" t="s">
        <v>9</v>
      </c>
      <c r="D354" t="s">
        <v>10</v>
      </c>
      <c r="E354">
        <v>1206</v>
      </c>
      <c r="F354" t="b">
        <v>1</v>
      </c>
      <c r="G354" t="str">
        <f>HYPERLINK("https://www.google.com/maps/search/?api=1&amp;query=24.65659264,46.74825675", "View Map")</f>
        <v>View Map</v>
      </c>
    </row>
    <row r="355" spans="1:7" x14ac:dyDescent="0.3">
      <c r="A355" t="s">
        <v>618</v>
      </c>
      <c r="B355" t="s">
        <v>619</v>
      </c>
      <c r="C355" t="s">
        <v>9</v>
      </c>
      <c r="D355" t="s">
        <v>10</v>
      </c>
      <c r="E355">
        <v>1206</v>
      </c>
      <c r="F355" t="b">
        <v>1</v>
      </c>
      <c r="G355" t="str">
        <f>HYPERLINK("https://www.google.com/maps/search/?api=1&amp;query=24.79112,46.71663", "View Map")</f>
        <v>View Map</v>
      </c>
    </row>
    <row r="356" spans="1:7" x14ac:dyDescent="0.3">
      <c r="A356" t="s">
        <v>586</v>
      </c>
      <c r="B356" t="s">
        <v>620</v>
      </c>
      <c r="C356" t="s">
        <v>9</v>
      </c>
      <c r="D356" t="s">
        <v>154</v>
      </c>
      <c r="E356">
        <v>1205</v>
      </c>
      <c r="F356" t="b">
        <v>1</v>
      </c>
      <c r="G356" t="str">
        <f>HYPERLINK("https://www.google.com/maps/search/?api=1&amp;query=24.77581432,46.58818802", "View Map")</f>
        <v>View Map</v>
      </c>
    </row>
    <row r="357" spans="1:7" x14ac:dyDescent="0.3">
      <c r="A357" t="s">
        <v>27</v>
      </c>
      <c r="B357" t="s">
        <v>621</v>
      </c>
      <c r="C357" t="s">
        <v>9</v>
      </c>
      <c r="D357" t="s">
        <v>10</v>
      </c>
      <c r="E357">
        <v>1204</v>
      </c>
      <c r="F357" t="b">
        <v>1</v>
      </c>
      <c r="G357" t="str">
        <f>HYPERLINK("https://www.google.com/maps/search/?api=1&amp;query=24.70896007,46.68531757", "View Map")</f>
        <v>View Map</v>
      </c>
    </row>
    <row r="358" spans="1:7" x14ac:dyDescent="0.3">
      <c r="A358" t="s">
        <v>27</v>
      </c>
      <c r="B358" t="s">
        <v>622</v>
      </c>
      <c r="C358" t="s">
        <v>9</v>
      </c>
      <c r="D358" t="s">
        <v>10</v>
      </c>
      <c r="E358">
        <v>1203</v>
      </c>
      <c r="F358" t="b">
        <v>1</v>
      </c>
      <c r="G358" t="str">
        <f>HYPERLINK("https://www.google.com/maps/search/?api=1&amp;query=24.85522799,46.62433144", "View Map")</f>
        <v>View Map</v>
      </c>
    </row>
    <row r="359" spans="1:7" x14ac:dyDescent="0.3">
      <c r="A359" t="s">
        <v>19</v>
      </c>
      <c r="B359" t="s">
        <v>623</v>
      </c>
      <c r="C359" t="s">
        <v>72</v>
      </c>
      <c r="D359" t="s">
        <v>10</v>
      </c>
      <c r="E359">
        <v>1201</v>
      </c>
      <c r="F359" t="b">
        <v>1</v>
      </c>
      <c r="G359" t="str">
        <f>HYPERLINK("https://www.google.com/maps/search/?api=1&amp;query=24.7453,46.5272", "View Map")</f>
        <v>View Map</v>
      </c>
    </row>
    <row r="360" spans="1:7" x14ac:dyDescent="0.3">
      <c r="A360" t="s">
        <v>624</v>
      </c>
      <c r="B360" t="s">
        <v>625</v>
      </c>
      <c r="C360" t="s">
        <v>9</v>
      </c>
      <c r="D360" t="s">
        <v>10</v>
      </c>
      <c r="E360">
        <v>1201</v>
      </c>
      <c r="F360" t="b">
        <v>1</v>
      </c>
      <c r="G360" t="str">
        <f>HYPERLINK("https://www.google.com/maps/search/?api=1&amp;query=24.58400892,46.62669641", "View Map")</f>
        <v>View Map</v>
      </c>
    </row>
    <row r="361" spans="1:7" x14ac:dyDescent="0.3">
      <c r="A361" t="s">
        <v>626</v>
      </c>
      <c r="B361" t="s">
        <v>627</v>
      </c>
      <c r="C361" t="s">
        <v>9</v>
      </c>
      <c r="D361" t="s">
        <v>10</v>
      </c>
      <c r="E361">
        <v>1200</v>
      </c>
      <c r="F361" t="b">
        <v>1</v>
      </c>
      <c r="G361" t="str">
        <f>HYPERLINK("https://www.google.com/maps/search/?api=1&amp;query=24.75102533,46.66455953", "View Map")</f>
        <v>View Map</v>
      </c>
    </row>
    <row r="362" spans="1:7" x14ac:dyDescent="0.3">
      <c r="A362" t="s">
        <v>628</v>
      </c>
      <c r="B362" t="s">
        <v>629</v>
      </c>
      <c r="C362" t="s">
        <v>9</v>
      </c>
      <c r="D362" t="s">
        <v>10</v>
      </c>
      <c r="E362">
        <v>1199</v>
      </c>
      <c r="F362" t="b">
        <v>1</v>
      </c>
      <c r="G362" t="str">
        <f>HYPERLINK("https://www.google.com/maps/search/?api=1&amp;query=24.80549012,46.70952652", "View Map")</f>
        <v>View Map</v>
      </c>
    </row>
    <row r="363" spans="1:7" x14ac:dyDescent="0.3">
      <c r="A363" t="s">
        <v>281</v>
      </c>
      <c r="B363" t="s">
        <v>630</v>
      </c>
      <c r="C363" t="s">
        <v>9</v>
      </c>
      <c r="D363" t="s">
        <v>10</v>
      </c>
      <c r="E363">
        <v>1199</v>
      </c>
      <c r="F363" t="b">
        <v>1</v>
      </c>
      <c r="G363" t="str">
        <f>HYPERLINK("https://www.google.com/maps/search/?api=1&amp;query=24.6528115,46.75738867", "View Map")</f>
        <v>View Map</v>
      </c>
    </row>
    <row r="364" spans="1:7" x14ac:dyDescent="0.3">
      <c r="A364" t="s">
        <v>159</v>
      </c>
      <c r="B364" t="s">
        <v>631</v>
      </c>
      <c r="C364" t="s">
        <v>9</v>
      </c>
      <c r="D364" t="s">
        <v>10</v>
      </c>
      <c r="E364">
        <v>1199</v>
      </c>
      <c r="F364" t="b">
        <v>1</v>
      </c>
      <c r="G364" t="str">
        <f>HYPERLINK("https://www.google.com/maps/search/?api=1&amp;query=24.53493221,46.71747365", "View Map")</f>
        <v>View Map</v>
      </c>
    </row>
    <row r="365" spans="1:7" x14ac:dyDescent="0.3">
      <c r="A365" t="s">
        <v>632</v>
      </c>
      <c r="B365" t="s">
        <v>633</v>
      </c>
      <c r="C365" t="s">
        <v>9</v>
      </c>
      <c r="D365" t="s">
        <v>10</v>
      </c>
      <c r="E365">
        <v>1195</v>
      </c>
      <c r="F365" t="b">
        <v>1</v>
      </c>
      <c r="G365" t="str">
        <f>HYPERLINK("https://www.google.com/maps/search/?api=1&amp;query=24.68607,46.56311", "View Map")</f>
        <v>View Map</v>
      </c>
    </row>
    <row r="366" spans="1:7" x14ac:dyDescent="0.3">
      <c r="A366" t="s">
        <v>634</v>
      </c>
      <c r="B366" t="s">
        <v>635</v>
      </c>
      <c r="C366" t="s">
        <v>9</v>
      </c>
      <c r="D366" t="s">
        <v>10</v>
      </c>
      <c r="E366">
        <v>1195</v>
      </c>
      <c r="F366" t="b">
        <v>1</v>
      </c>
      <c r="G366" t="str">
        <f>HYPERLINK("https://www.google.com/maps/search/?api=1&amp;query=24.75976505,46.62691597", "View Map")</f>
        <v>View Map</v>
      </c>
    </row>
    <row r="367" spans="1:7" x14ac:dyDescent="0.3">
      <c r="A367" t="s">
        <v>636</v>
      </c>
      <c r="B367" t="s">
        <v>637</v>
      </c>
      <c r="C367" t="s">
        <v>9</v>
      </c>
      <c r="D367" t="s">
        <v>10</v>
      </c>
      <c r="E367">
        <v>1195</v>
      </c>
      <c r="F367" t="b">
        <v>1</v>
      </c>
      <c r="G367" t="str">
        <f>HYPERLINK("https://www.google.com/maps/search/?api=1&amp;query=24.6325,46.7156", "View Map")</f>
        <v>View Map</v>
      </c>
    </row>
    <row r="368" spans="1:7" x14ac:dyDescent="0.3">
      <c r="A368" t="s">
        <v>638</v>
      </c>
      <c r="B368" t="s">
        <v>639</v>
      </c>
      <c r="C368" t="s">
        <v>9</v>
      </c>
      <c r="D368" t="s">
        <v>10</v>
      </c>
      <c r="E368">
        <v>1191</v>
      </c>
      <c r="F368" t="b">
        <v>0</v>
      </c>
      <c r="G368" t="str">
        <f>HYPERLINK("https://www.google.com/maps/search/?api=1&amp;query=24.59816571,46.67094878", "View Map")</f>
        <v>View Map</v>
      </c>
    </row>
    <row r="369" spans="1:7" x14ac:dyDescent="0.3">
      <c r="A369" t="s">
        <v>27</v>
      </c>
      <c r="B369" t="s">
        <v>640</v>
      </c>
      <c r="C369" t="s">
        <v>72</v>
      </c>
      <c r="D369" t="s">
        <v>10</v>
      </c>
      <c r="E369">
        <v>1190</v>
      </c>
      <c r="F369" t="b">
        <v>1</v>
      </c>
      <c r="G369" t="str">
        <f>HYPERLINK("https://www.google.com/maps/search/?api=1&amp;query=24.77772577,46.56393009", "View Map")</f>
        <v>View Map</v>
      </c>
    </row>
    <row r="370" spans="1:7" x14ac:dyDescent="0.3">
      <c r="A370" t="s">
        <v>504</v>
      </c>
      <c r="B370" t="s">
        <v>641</v>
      </c>
      <c r="C370" t="s">
        <v>9</v>
      </c>
      <c r="D370" t="s">
        <v>10</v>
      </c>
      <c r="E370">
        <v>1190</v>
      </c>
      <c r="F370" t="b">
        <v>1</v>
      </c>
      <c r="G370" t="str">
        <f>HYPERLINK("https://www.google.com/maps/search/?api=1&amp;query=24.626032,46.67015535", "View Map")</f>
        <v>View Map</v>
      </c>
    </row>
    <row r="371" spans="1:7" x14ac:dyDescent="0.3">
      <c r="A371" t="s">
        <v>642</v>
      </c>
      <c r="B371" t="s">
        <v>643</v>
      </c>
      <c r="C371" t="s">
        <v>9</v>
      </c>
      <c r="D371" t="s">
        <v>10</v>
      </c>
      <c r="E371">
        <v>1190</v>
      </c>
      <c r="F371" t="b">
        <v>1</v>
      </c>
      <c r="G371" t="str">
        <f>HYPERLINK("https://www.google.com/maps/search/?api=1&amp;query=24.79472957,46.87509731", "View Map")</f>
        <v>View Map</v>
      </c>
    </row>
    <row r="372" spans="1:7" x14ac:dyDescent="0.3">
      <c r="A372" t="s">
        <v>644</v>
      </c>
      <c r="B372" t="s">
        <v>645</v>
      </c>
      <c r="C372" t="s">
        <v>9</v>
      </c>
      <c r="D372" t="s">
        <v>10</v>
      </c>
      <c r="E372">
        <v>1188</v>
      </c>
      <c r="F372" t="b">
        <v>1</v>
      </c>
      <c r="G372" t="str">
        <f>HYPERLINK("https://www.google.com/maps/search/?api=1&amp;query=24.63639813,46.73641514", "View Map")</f>
        <v>View Map</v>
      </c>
    </row>
    <row r="373" spans="1:7" x14ac:dyDescent="0.3">
      <c r="A373" t="s">
        <v>646</v>
      </c>
      <c r="B373" t="s">
        <v>647</v>
      </c>
      <c r="C373" t="s">
        <v>9</v>
      </c>
      <c r="D373" t="s">
        <v>10</v>
      </c>
      <c r="E373">
        <v>1185</v>
      </c>
      <c r="F373" t="b">
        <v>1</v>
      </c>
      <c r="G373" t="str">
        <f>HYPERLINK("https://www.google.com/maps/search/?api=1&amp;query=24.77313,46.68023", "View Map")</f>
        <v>View Map</v>
      </c>
    </row>
    <row r="374" spans="1:7" x14ac:dyDescent="0.3">
      <c r="A374" t="s">
        <v>648</v>
      </c>
      <c r="B374" t="s">
        <v>649</v>
      </c>
      <c r="C374" t="s">
        <v>9</v>
      </c>
      <c r="D374" t="s">
        <v>10</v>
      </c>
      <c r="E374">
        <v>1183</v>
      </c>
      <c r="F374" t="b">
        <v>1</v>
      </c>
      <c r="G374" t="str">
        <f>HYPERLINK("https://www.google.com/maps/search/?api=1&amp;query=24.56862568,46.62866045", "View Map")</f>
        <v>View Map</v>
      </c>
    </row>
    <row r="375" spans="1:7" x14ac:dyDescent="0.3">
      <c r="A375" t="s">
        <v>650</v>
      </c>
      <c r="B375" t="s">
        <v>651</v>
      </c>
      <c r="C375" t="s">
        <v>9</v>
      </c>
      <c r="D375" t="s">
        <v>10</v>
      </c>
      <c r="E375">
        <v>1183</v>
      </c>
      <c r="F375" t="b">
        <v>1</v>
      </c>
      <c r="G375" t="str">
        <f>HYPERLINK("https://www.google.com/maps/search/?api=1&amp;query=24.62823722,46.69525798", "View Map")</f>
        <v>View Map</v>
      </c>
    </row>
    <row r="376" spans="1:7" x14ac:dyDescent="0.3">
      <c r="A376" t="s">
        <v>652</v>
      </c>
      <c r="B376" t="s">
        <v>653</v>
      </c>
      <c r="C376" t="s">
        <v>9</v>
      </c>
      <c r="D376" t="s">
        <v>10</v>
      </c>
      <c r="E376">
        <v>1182</v>
      </c>
      <c r="F376" t="b">
        <v>1</v>
      </c>
      <c r="G376" t="str">
        <f>HYPERLINK("https://www.google.com/maps/search/?api=1&amp;query=24.80957067,46.88653704", "View Map")</f>
        <v>View Map</v>
      </c>
    </row>
    <row r="377" spans="1:7" x14ac:dyDescent="0.3">
      <c r="A377" t="s">
        <v>654</v>
      </c>
      <c r="B377" t="s">
        <v>655</v>
      </c>
      <c r="C377" t="s">
        <v>9</v>
      </c>
      <c r="D377" t="s">
        <v>10</v>
      </c>
      <c r="E377">
        <v>1178</v>
      </c>
      <c r="F377" t="b">
        <v>1</v>
      </c>
      <c r="G377" t="str">
        <f>HYPERLINK("https://www.google.com/maps/search/?api=1&amp;query=24.63543151,46.66348217", "View Map")</f>
        <v>View Map</v>
      </c>
    </row>
    <row r="378" spans="1:7" x14ac:dyDescent="0.3">
      <c r="A378" t="s">
        <v>656</v>
      </c>
      <c r="B378" t="s">
        <v>657</v>
      </c>
      <c r="C378" t="s">
        <v>9</v>
      </c>
      <c r="D378" t="s">
        <v>10</v>
      </c>
      <c r="E378">
        <v>1173</v>
      </c>
      <c r="F378" t="b">
        <v>1</v>
      </c>
      <c r="G378" t="str">
        <f>HYPERLINK("https://www.google.com/maps/search/?api=1&amp;query=24.63186916,46.68972409", "View Map")</f>
        <v>View Map</v>
      </c>
    </row>
    <row r="379" spans="1:7" x14ac:dyDescent="0.3">
      <c r="A379" t="s">
        <v>658</v>
      </c>
      <c r="B379" t="s">
        <v>659</v>
      </c>
      <c r="C379" t="s">
        <v>9</v>
      </c>
      <c r="D379" t="s">
        <v>10</v>
      </c>
      <c r="E379">
        <v>1172</v>
      </c>
      <c r="F379" t="b">
        <v>1</v>
      </c>
      <c r="G379" t="str">
        <f>HYPERLINK("https://www.google.com/maps/search/?api=1&amp;query=24.73451893,46.65339147", "View Map")</f>
        <v>View Map</v>
      </c>
    </row>
    <row r="380" spans="1:7" x14ac:dyDescent="0.3">
      <c r="A380" t="s">
        <v>159</v>
      </c>
      <c r="B380" t="s">
        <v>660</v>
      </c>
      <c r="C380" t="s">
        <v>9</v>
      </c>
      <c r="D380" t="s">
        <v>10</v>
      </c>
      <c r="E380">
        <v>1167</v>
      </c>
      <c r="F380" t="b">
        <v>1</v>
      </c>
      <c r="G380" t="str">
        <f>HYPERLINK("https://www.google.com/maps/search/?api=1&amp;query=24.5736,46.5356", "View Map")</f>
        <v>View Map</v>
      </c>
    </row>
    <row r="381" spans="1:7" x14ac:dyDescent="0.3">
      <c r="A381" t="s">
        <v>661</v>
      </c>
      <c r="B381" t="s">
        <v>662</v>
      </c>
      <c r="C381" t="s">
        <v>9</v>
      </c>
      <c r="D381" t="s">
        <v>10</v>
      </c>
      <c r="E381">
        <v>1165</v>
      </c>
      <c r="F381" t="b">
        <v>1</v>
      </c>
      <c r="G381" t="str">
        <f>HYPERLINK("https://www.google.com/maps/search/?api=1&amp;query=24.53758782,46.70258996", "View Map")</f>
        <v>View Map</v>
      </c>
    </row>
    <row r="382" spans="1:7" x14ac:dyDescent="0.3">
      <c r="A382" t="s">
        <v>194</v>
      </c>
      <c r="B382" t="s">
        <v>663</v>
      </c>
      <c r="C382" t="s">
        <v>9</v>
      </c>
      <c r="D382" t="s">
        <v>10</v>
      </c>
      <c r="E382">
        <v>1164</v>
      </c>
      <c r="F382" t="b">
        <v>1</v>
      </c>
      <c r="G382" t="str">
        <f>HYPERLINK("https://www.google.com/maps/search/?api=1&amp;query=24.8277018,46.78878921", "View Map")</f>
        <v>View Map</v>
      </c>
    </row>
    <row r="383" spans="1:7" x14ac:dyDescent="0.3">
      <c r="A383" t="s">
        <v>664</v>
      </c>
      <c r="B383" t="s">
        <v>665</v>
      </c>
      <c r="C383" t="s">
        <v>9</v>
      </c>
      <c r="D383" t="s">
        <v>10</v>
      </c>
      <c r="E383">
        <v>1163</v>
      </c>
      <c r="F383" t="b">
        <v>1</v>
      </c>
      <c r="G383" t="str">
        <f>HYPERLINK("https://www.google.com/maps/search/?api=1&amp;query=24.72332361,46.79331423", "View Map")</f>
        <v>View Map</v>
      </c>
    </row>
    <row r="384" spans="1:7" x14ac:dyDescent="0.3">
      <c r="A384" t="s">
        <v>666</v>
      </c>
      <c r="B384" t="s">
        <v>667</v>
      </c>
      <c r="C384" t="s">
        <v>9</v>
      </c>
      <c r="D384" t="s">
        <v>10</v>
      </c>
      <c r="E384">
        <v>1163</v>
      </c>
      <c r="F384" t="b">
        <v>1</v>
      </c>
      <c r="G384" t="str">
        <f>HYPERLINK("https://www.google.com/maps/search/?api=1&amp;query=24.68783706,46.67492904", "View Map")</f>
        <v>View Map</v>
      </c>
    </row>
    <row r="385" spans="1:7" x14ac:dyDescent="0.3">
      <c r="A385" t="s">
        <v>668</v>
      </c>
      <c r="B385" t="s">
        <v>669</v>
      </c>
      <c r="C385" t="s">
        <v>9</v>
      </c>
      <c r="D385" t="s">
        <v>10</v>
      </c>
      <c r="E385">
        <v>1162</v>
      </c>
      <c r="F385" t="b">
        <v>1</v>
      </c>
      <c r="G385" t="str">
        <f>HYPERLINK("https://www.google.com/maps/search/?api=1&amp;query=24.77013796,46.82593766", "View Map")</f>
        <v>View Map</v>
      </c>
    </row>
    <row r="386" spans="1:7" x14ac:dyDescent="0.3">
      <c r="A386" t="s">
        <v>27</v>
      </c>
      <c r="B386" t="s">
        <v>670</v>
      </c>
      <c r="C386" t="s">
        <v>9</v>
      </c>
      <c r="D386" t="s">
        <v>154</v>
      </c>
      <c r="E386">
        <v>1156</v>
      </c>
      <c r="F386" t="b">
        <v>1</v>
      </c>
      <c r="G386" t="str">
        <f>HYPERLINK("https://www.google.com/maps/search/?api=1&amp;query=24.8482485,46.82373402", "View Map")</f>
        <v>View Map</v>
      </c>
    </row>
    <row r="387" spans="1:7" x14ac:dyDescent="0.3">
      <c r="A387" t="s">
        <v>671</v>
      </c>
      <c r="B387" t="s">
        <v>672</v>
      </c>
      <c r="C387" t="s">
        <v>9</v>
      </c>
      <c r="D387" t="s">
        <v>10</v>
      </c>
      <c r="E387">
        <v>1154</v>
      </c>
      <c r="F387" t="b">
        <v>1</v>
      </c>
      <c r="G387" t="str">
        <f>HYPERLINK("https://www.google.com/maps/search/?api=1&amp;query=24.57878307,46.6626018", "View Map")</f>
        <v>View Map</v>
      </c>
    </row>
    <row r="388" spans="1:7" x14ac:dyDescent="0.3">
      <c r="A388" t="s">
        <v>673</v>
      </c>
      <c r="B388" t="s">
        <v>674</v>
      </c>
      <c r="C388" t="s">
        <v>72</v>
      </c>
      <c r="D388" t="s">
        <v>10</v>
      </c>
      <c r="E388">
        <v>1153</v>
      </c>
      <c r="F388" t="b">
        <v>1</v>
      </c>
      <c r="G388" t="str">
        <f>HYPERLINK("https://www.google.com/maps/search/?api=1&amp;query=24.73759225,46.59876738", "View Map")</f>
        <v>View Map</v>
      </c>
    </row>
    <row r="389" spans="1:7" x14ac:dyDescent="0.3">
      <c r="A389" t="s">
        <v>675</v>
      </c>
      <c r="B389" t="s">
        <v>676</v>
      </c>
      <c r="C389" t="s">
        <v>9</v>
      </c>
      <c r="D389" t="s">
        <v>10</v>
      </c>
      <c r="E389">
        <v>1151</v>
      </c>
      <c r="F389" t="b">
        <v>1</v>
      </c>
      <c r="G389" t="str">
        <f>HYPERLINK("https://www.google.com/maps/search/?api=1&amp;query=24.80221509,46.8580866", "View Map")</f>
        <v>View Map</v>
      </c>
    </row>
    <row r="390" spans="1:7" x14ac:dyDescent="0.3">
      <c r="A390" t="s">
        <v>677</v>
      </c>
      <c r="B390" t="s">
        <v>678</v>
      </c>
      <c r="C390" t="s">
        <v>9</v>
      </c>
      <c r="D390" t="s">
        <v>10</v>
      </c>
      <c r="E390">
        <v>1151</v>
      </c>
      <c r="F390" t="b">
        <v>1</v>
      </c>
      <c r="G390" t="str">
        <f>HYPERLINK("https://www.google.com/maps/search/?api=1&amp;query=24.64237849,46.69975979", "View Map")</f>
        <v>View Map</v>
      </c>
    </row>
    <row r="391" spans="1:7" x14ac:dyDescent="0.3">
      <c r="A391" t="s">
        <v>679</v>
      </c>
      <c r="B391" t="s">
        <v>680</v>
      </c>
      <c r="C391" t="s">
        <v>9</v>
      </c>
      <c r="D391" t="s">
        <v>10</v>
      </c>
      <c r="E391">
        <v>1150</v>
      </c>
      <c r="F391" t="b">
        <v>1</v>
      </c>
      <c r="G391" t="str">
        <f>HYPERLINK("https://www.google.com/maps/search/?api=1&amp;query=24.77052623,46.65025996", "View Map")</f>
        <v>View Map</v>
      </c>
    </row>
    <row r="392" spans="1:7" x14ac:dyDescent="0.3">
      <c r="A392" t="s">
        <v>681</v>
      </c>
      <c r="B392" t="s">
        <v>682</v>
      </c>
      <c r="C392" t="s">
        <v>9</v>
      </c>
      <c r="D392" t="s">
        <v>10</v>
      </c>
      <c r="E392">
        <v>1149</v>
      </c>
      <c r="F392" t="b">
        <v>1</v>
      </c>
      <c r="G392" t="str">
        <f>HYPERLINK("https://www.google.com/maps/search/?api=1&amp;query=24.67036033,46.79370774", "View Map")</f>
        <v>View Map</v>
      </c>
    </row>
    <row r="393" spans="1:7" x14ac:dyDescent="0.3">
      <c r="A393" t="s">
        <v>284</v>
      </c>
      <c r="B393" t="s">
        <v>683</v>
      </c>
      <c r="C393" t="s">
        <v>9</v>
      </c>
      <c r="D393" t="s">
        <v>154</v>
      </c>
      <c r="E393">
        <v>1147</v>
      </c>
      <c r="F393" t="b">
        <v>1</v>
      </c>
      <c r="G393" t="str">
        <f>HYPERLINK("https://www.google.com/maps/search/?api=1&amp;query=24.75823602,46.72582692", "View Map")</f>
        <v>View Map</v>
      </c>
    </row>
    <row r="394" spans="1:7" x14ac:dyDescent="0.3">
      <c r="A394" t="s">
        <v>684</v>
      </c>
      <c r="B394" t="s">
        <v>685</v>
      </c>
      <c r="C394" t="s">
        <v>9</v>
      </c>
      <c r="D394" t="s">
        <v>10</v>
      </c>
      <c r="E394">
        <v>1144</v>
      </c>
      <c r="F394" t="b">
        <v>1</v>
      </c>
      <c r="G394" t="str">
        <f>HYPERLINK("https://www.google.com/maps/search/?api=1&amp;query=24.67828762,46.64568013", "View Map")</f>
        <v>View Map</v>
      </c>
    </row>
    <row r="395" spans="1:7" x14ac:dyDescent="0.3">
      <c r="A395" t="s">
        <v>686</v>
      </c>
      <c r="B395" t="s">
        <v>687</v>
      </c>
      <c r="C395" t="s">
        <v>9</v>
      </c>
      <c r="D395" t="s">
        <v>10</v>
      </c>
      <c r="E395">
        <v>1144</v>
      </c>
      <c r="F395" t="b">
        <v>1</v>
      </c>
      <c r="G395" t="str">
        <f>HYPERLINK("https://www.google.com/maps/search/?api=1&amp;query=24.7370575,46.71942659", "View Map")</f>
        <v>View Map</v>
      </c>
    </row>
    <row r="396" spans="1:7" x14ac:dyDescent="0.3">
      <c r="A396" t="s">
        <v>688</v>
      </c>
      <c r="B396" t="s">
        <v>689</v>
      </c>
      <c r="C396" t="s">
        <v>9</v>
      </c>
      <c r="D396" t="s">
        <v>10</v>
      </c>
      <c r="E396">
        <v>1142</v>
      </c>
      <c r="F396" t="b">
        <v>1</v>
      </c>
      <c r="G396" t="str">
        <f>HYPERLINK("https://www.google.com/maps/search/?api=1&amp;query=24.39528917,46.83902328", "View Map")</f>
        <v>View Map</v>
      </c>
    </row>
    <row r="397" spans="1:7" x14ac:dyDescent="0.3">
      <c r="A397" t="s">
        <v>690</v>
      </c>
      <c r="B397" t="s">
        <v>691</v>
      </c>
      <c r="C397" t="s">
        <v>9</v>
      </c>
      <c r="D397" t="s">
        <v>10</v>
      </c>
      <c r="E397">
        <v>1142</v>
      </c>
      <c r="F397" t="b">
        <v>1</v>
      </c>
      <c r="G397" t="str">
        <f>HYPERLINK("https://www.google.com/maps/search/?api=1&amp;query=24.57428046,46.66244564", "View Map")</f>
        <v>View Map</v>
      </c>
    </row>
    <row r="398" spans="1:7" x14ac:dyDescent="0.3">
      <c r="A398" t="s">
        <v>27</v>
      </c>
      <c r="B398" t="s">
        <v>692</v>
      </c>
      <c r="C398" t="s">
        <v>9</v>
      </c>
      <c r="D398" t="s">
        <v>10</v>
      </c>
      <c r="E398">
        <v>1141</v>
      </c>
      <c r="F398" t="b">
        <v>1</v>
      </c>
      <c r="G398" t="str">
        <f>HYPERLINK("https://www.google.com/maps/search/?api=1&amp;query=24.55998194,46.80414634", "View Map")</f>
        <v>View Map</v>
      </c>
    </row>
    <row r="399" spans="1:7" x14ac:dyDescent="0.3">
      <c r="A399" t="s">
        <v>693</v>
      </c>
      <c r="B399" t="s">
        <v>694</v>
      </c>
      <c r="C399" t="s">
        <v>9</v>
      </c>
      <c r="D399" t="s">
        <v>10</v>
      </c>
      <c r="E399">
        <v>1140</v>
      </c>
      <c r="F399" t="b">
        <v>1</v>
      </c>
      <c r="G399" t="str">
        <f>HYPERLINK("https://www.google.com/maps/search/?api=1&amp;query=24.79261396,46.63660156", "View Map")</f>
        <v>View Map</v>
      </c>
    </row>
    <row r="400" spans="1:7" x14ac:dyDescent="0.3">
      <c r="A400" t="s">
        <v>27</v>
      </c>
      <c r="B400" t="s">
        <v>695</v>
      </c>
      <c r="C400" t="s">
        <v>9</v>
      </c>
      <c r="D400" t="s">
        <v>10</v>
      </c>
      <c r="E400">
        <v>1140</v>
      </c>
      <c r="F400" t="b">
        <v>1</v>
      </c>
      <c r="G400" t="str">
        <f>HYPERLINK("https://www.google.com/maps/search/?api=1&amp;query=24.64479596,46.55154994", "View Map")</f>
        <v>View Map</v>
      </c>
    </row>
    <row r="401" spans="1:7" x14ac:dyDescent="0.3">
      <c r="A401" t="s">
        <v>194</v>
      </c>
      <c r="B401" t="s">
        <v>696</v>
      </c>
      <c r="C401" t="s">
        <v>9</v>
      </c>
      <c r="D401" t="s">
        <v>10</v>
      </c>
      <c r="E401">
        <v>1140</v>
      </c>
      <c r="F401" t="b">
        <v>1</v>
      </c>
      <c r="G401" t="str">
        <f>HYPERLINK("https://www.google.com/maps/search/?api=1&amp;query=24.82399195,46.78630701", "View Map")</f>
        <v>View Map</v>
      </c>
    </row>
    <row r="402" spans="1:7" x14ac:dyDescent="0.3">
      <c r="A402" t="s">
        <v>27</v>
      </c>
      <c r="B402" t="s">
        <v>697</v>
      </c>
      <c r="C402" t="s">
        <v>9</v>
      </c>
      <c r="D402" t="s">
        <v>10</v>
      </c>
      <c r="E402">
        <v>1140</v>
      </c>
      <c r="F402" t="b">
        <v>1</v>
      </c>
      <c r="G402" t="str">
        <f>HYPERLINK("https://www.google.com/maps/search/?api=1&amp;query=24.82845,46.60742", "View Map")</f>
        <v>View Map</v>
      </c>
    </row>
    <row r="403" spans="1:7" x14ac:dyDescent="0.3">
      <c r="A403" t="s">
        <v>411</v>
      </c>
      <c r="B403" t="s">
        <v>698</v>
      </c>
      <c r="C403" t="s">
        <v>9</v>
      </c>
      <c r="D403" t="s">
        <v>10</v>
      </c>
      <c r="E403">
        <v>1138</v>
      </c>
      <c r="F403" t="b">
        <v>0</v>
      </c>
      <c r="G403" t="str">
        <f>HYPERLINK("https://www.google.com/maps/search/?api=1&amp;query=24.77575861,46.80511905", "View Map")</f>
        <v>View Map</v>
      </c>
    </row>
    <row r="404" spans="1:7" x14ac:dyDescent="0.3">
      <c r="A404" t="s">
        <v>699</v>
      </c>
      <c r="B404" t="s">
        <v>700</v>
      </c>
      <c r="C404" t="s">
        <v>9</v>
      </c>
      <c r="D404" t="s">
        <v>10</v>
      </c>
      <c r="E404">
        <v>1138</v>
      </c>
      <c r="F404" t="b">
        <v>1</v>
      </c>
      <c r="G404" t="str">
        <f>HYPERLINK("https://www.google.com/maps/search/?api=1&amp;query=24.69763043,46.67411699", "View Map")</f>
        <v>View Map</v>
      </c>
    </row>
    <row r="405" spans="1:7" x14ac:dyDescent="0.3">
      <c r="A405" t="s">
        <v>194</v>
      </c>
      <c r="B405" t="s">
        <v>701</v>
      </c>
      <c r="C405" t="s">
        <v>9</v>
      </c>
      <c r="D405" t="s">
        <v>10</v>
      </c>
      <c r="E405">
        <v>1137</v>
      </c>
      <c r="F405" t="b">
        <v>1</v>
      </c>
      <c r="G405" t="str">
        <f>HYPERLINK("https://www.google.com/maps/search/?api=1&amp;query=24.81358583,46.78162619", "View Map")</f>
        <v>View Map</v>
      </c>
    </row>
    <row r="406" spans="1:7" x14ac:dyDescent="0.3">
      <c r="A406" t="s">
        <v>702</v>
      </c>
      <c r="B406" t="s">
        <v>703</v>
      </c>
      <c r="C406" t="s">
        <v>9</v>
      </c>
      <c r="D406" t="s">
        <v>10</v>
      </c>
      <c r="E406">
        <v>1136</v>
      </c>
      <c r="F406" t="b">
        <v>1</v>
      </c>
      <c r="G406" t="str">
        <f>HYPERLINK("https://www.google.com/maps/search/?api=1&amp;query=24.73224884,46.82499009", "View Map")</f>
        <v>View Map</v>
      </c>
    </row>
    <row r="407" spans="1:7" x14ac:dyDescent="0.3">
      <c r="A407" t="s">
        <v>704</v>
      </c>
      <c r="B407" t="s">
        <v>705</v>
      </c>
      <c r="C407" t="s">
        <v>9</v>
      </c>
      <c r="D407" t="s">
        <v>10</v>
      </c>
      <c r="E407">
        <v>1135</v>
      </c>
      <c r="F407" t="b">
        <v>1</v>
      </c>
      <c r="G407" t="str">
        <f>HYPERLINK("https://www.google.com/maps/search/?api=1&amp;query=24.79397828,46.77968977", "View Map")</f>
        <v>View Map</v>
      </c>
    </row>
    <row r="408" spans="1:7" x14ac:dyDescent="0.3">
      <c r="A408" t="s">
        <v>706</v>
      </c>
      <c r="B408" t="s">
        <v>707</v>
      </c>
      <c r="C408" t="s">
        <v>9</v>
      </c>
      <c r="D408" t="s">
        <v>10</v>
      </c>
      <c r="E408">
        <v>1134</v>
      </c>
      <c r="F408" t="b">
        <v>1</v>
      </c>
      <c r="G408" t="str">
        <f>HYPERLINK("https://www.google.com/maps/search/?api=1&amp;query=24.78226,46.62534", "View Map")</f>
        <v>View Map</v>
      </c>
    </row>
    <row r="409" spans="1:7" x14ac:dyDescent="0.3">
      <c r="A409" t="s">
        <v>708</v>
      </c>
      <c r="B409" t="s">
        <v>709</v>
      </c>
      <c r="C409" t="s">
        <v>9</v>
      </c>
      <c r="D409" t="s">
        <v>10</v>
      </c>
      <c r="E409">
        <v>1132</v>
      </c>
      <c r="F409" t="b">
        <v>1</v>
      </c>
      <c r="G409" t="str">
        <f>HYPERLINK("https://www.google.com/maps/search/?api=1&amp;query=24.73636058,46.78950131", "View Map")</f>
        <v>View Map</v>
      </c>
    </row>
    <row r="410" spans="1:7" x14ac:dyDescent="0.3">
      <c r="A410" t="s">
        <v>710</v>
      </c>
      <c r="B410" t="s">
        <v>711</v>
      </c>
      <c r="C410" t="s">
        <v>9</v>
      </c>
      <c r="D410" t="s">
        <v>10</v>
      </c>
      <c r="E410">
        <v>1128</v>
      </c>
      <c r="F410" t="b">
        <v>1</v>
      </c>
      <c r="G410" t="str">
        <f>HYPERLINK("https://www.google.com/maps/search/?api=1&amp;query=24.71041136,46.61485027", "View Map")</f>
        <v>View Map</v>
      </c>
    </row>
    <row r="411" spans="1:7" x14ac:dyDescent="0.3">
      <c r="A411" t="s">
        <v>712</v>
      </c>
      <c r="B411" t="s">
        <v>713</v>
      </c>
      <c r="C411" t="s">
        <v>9</v>
      </c>
      <c r="D411" t="s">
        <v>154</v>
      </c>
      <c r="E411">
        <v>1127</v>
      </c>
      <c r="F411" t="b">
        <v>1</v>
      </c>
      <c r="G411" t="str">
        <f>HYPERLINK("https://www.google.com/maps/search/?api=1&amp;query=24.74587652,46.74722447", "View Map")</f>
        <v>View Map</v>
      </c>
    </row>
    <row r="412" spans="1:7" x14ac:dyDescent="0.3">
      <c r="A412" t="s">
        <v>714</v>
      </c>
      <c r="B412" t="s">
        <v>715</v>
      </c>
      <c r="C412" t="s">
        <v>9</v>
      </c>
      <c r="D412" t="s">
        <v>10</v>
      </c>
      <c r="E412">
        <v>1125</v>
      </c>
      <c r="F412" t="b">
        <v>1</v>
      </c>
      <c r="G412" t="str">
        <f>HYPERLINK("https://www.google.com/maps/search/?api=1&amp;query=24.58650894,46.56472162", "View Map")</f>
        <v>View Map</v>
      </c>
    </row>
    <row r="413" spans="1:7" x14ac:dyDescent="0.3">
      <c r="A413" t="s">
        <v>716</v>
      </c>
      <c r="B413" t="s">
        <v>717</v>
      </c>
      <c r="C413" t="s">
        <v>9</v>
      </c>
      <c r="D413" t="s">
        <v>10</v>
      </c>
      <c r="E413">
        <v>1121</v>
      </c>
      <c r="F413" t="b">
        <v>1</v>
      </c>
      <c r="G413" t="str">
        <f>HYPERLINK("https://www.google.com/maps/search/?api=1&amp;query=24.70929126,46.81763592", "View Map")</f>
        <v>View Map</v>
      </c>
    </row>
    <row r="414" spans="1:7" x14ac:dyDescent="0.3">
      <c r="A414" t="s">
        <v>718</v>
      </c>
      <c r="B414" t="s">
        <v>719</v>
      </c>
      <c r="C414" t="s">
        <v>9</v>
      </c>
      <c r="D414" t="s">
        <v>10</v>
      </c>
      <c r="E414">
        <v>1121</v>
      </c>
      <c r="F414" t="b">
        <v>1</v>
      </c>
      <c r="G414" t="str">
        <f>HYPERLINK("https://www.google.com/maps/search/?api=1&amp;query=24.77867952,46.65492895", "View Map")</f>
        <v>View Map</v>
      </c>
    </row>
    <row r="415" spans="1:7" x14ac:dyDescent="0.3">
      <c r="A415" t="s">
        <v>720</v>
      </c>
      <c r="B415" t="s">
        <v>721</v>
      </c>
      <c r="C415" t="s">
        <v>9</v>
      </c>
      <c r="D415" t="s">
        <v>154</v>
      </c>
      <c r="E415">
        <v>1119</v>
      </c>
      <c r="F415" t="b">
        <v>1</v>
      </c>
      <c r="G415" t="str">
        <f>HYPERLINK("https://www.google.com/maps/search/?api=1&amp;query=24.59258883,46.53948231", "View Map")</f>
        <v>View Map</v>
      </c>
    </row>
    <row r="416" spans="1:7" x14ac:dyDescent="0.3">
      <c r="A416" t="s">
        <v>19</v>
      </c>
      <c r="B416" t="s">
        <v>722</v>
      </c>
      <c r="C416" t="s">
        <v>72</v>
      </c>
      <c r="D416" t="s">
        <v>154</v>
      </c>
      <c r="E416">
        <v>1119</v>
      </c>
      <c r="F416" t="b">
        <v>1</v>
      </c>
      <c r="G416" t="str">
        <f>HYPERLINK("https://www.google.com/maps/search/?api=1&amp;query=24.7731,46.5667", "View Map")</f>
        <v>View Map</v>
      </c>
    </row>
    <row r="417" spans="1:7" x14ac:dyDescent="0.3">
      <c r="A417" t="s">
        <v>723</v>
      </c>
      <c r="B417" t="s">
        <v>724</v>
      </c>
      <c r="C417" t="s">
        <v>9</v>
      </c>
      <c r="D417" t="s">
        <v>10</v>
      </c>
      <c r="E417">
        <v>1118</v>
      </c>
      <c r="F417" t="b">
        <v>1</v>
      </c>
      <c r="G417" t="str">
        <f>HYPERLINK("https://www.google.com/maps/search/?api=1&amp;query=24.81886849,46.62444331", "View Map")</f>
        <v>View Map</v>
      </c>
    </row>
    <row r="418" spans="1:7" x14ac:dyDescent="0.3">
      <c r="A418" t="s">
        <v>702</v>
      </c>
      <c r="B418" t="s">
        <v>725</v>
      </c>
      <c r="C418" t="s">
        <v>9</v>
      </c>
      <c r="D418" t="s">
        <v>10</v>
      </c>
      <c r="E418">
        <v>1117</v>
      </c>
      <c r="F418" t="b">
        <v>1</v>
      </c>
      <c r="G418" t="str">
        <f>HYPERLINK("https://www.google.com/maps/search/?api=1&amp;query=24.7093965,46.83008694", "View Map")</f>
        <v>View Map</v>
      </c>
    </row>
    <row r="419" spans="1:7" x14ac:dyDescent="0.3">
      <c r="A419" t="s">
        <v>726</v>
      </c>
      <c r="B419" t="s">
        <v>727</v>
      </c>
      <c r="C419" t="s">
        <v>9</v>
      </c>
      <c r="D419" t="s">
        <v>10</v>
      </c>
      <c r="E419">
        <v>1115</v>
      </c>
      <c r="F419" t="b">
        <v>1</v>
      </c>
      <c r="G419" t="str">
        <f>HYPERLINK("https://www.google.com/maps/search/?api=1&amp;query=24.62391126,46.54828732", "View Map")</f>
        <v>View Map</v>
      </c>
    </row>
    <row r="420" spans="1:7" x14ac:dyDescent="0.3">
      <c r="A420" t="s">
        <v>728</v>
      </c>
      <c r="B420" t="s">
        <v>729</v>
      </c>
      <c r="C420" t="s">
        <v>9</v>
      </c>
      <c r="D420" t="s">
        <v>154</v>
      </c>
      <c r="E420">
        <v>1114</v>
      </c>
      <c r="F420" t="b">
        <v>1</v>
      </c>
      <c r="G420" t="str">
        <f>HYPERLINK("https://www.google.com/maps/search/?api=1&amp;query=24.72666641,46.85361565", "View Map")</f>
        <v>View Map</v>
      </c>
    </row>
    <row r="421" spans="1:7" x14ac:dyDescent="0.3">
      <c r="A421" t="s">
        <v>716</v>
      </c>
      <c r="B421" t="s">
        <v>730</v>
      </c>
      <c r="C421" t="s">
        <v>9</v>
      </c>
      <c r="D421" t="s">
        <v>10</v>
      </c>
      <c r="E421">
        <v>1114</v>
      </c>
      <c r="F421" t="b">
        <v>1</v>
      </c>
      <c r="G421" t="str">
        <f>HYPERLINK("https://www.google.com/maps/search/?api=1&amp;query=24.70084072,46.80484557", "View Map")</f>
        <v>View Map</v>
      </c>
    </row>
    <row r="422" spans="1:7" x14ac:dyDescent="0.3">
      <c r="A422" t="s">
        <v>731</v>
      </c>
      <c r="B422" t="s">
        <v>732</v>
      </c>
      <c r="C422" t="s">
        <v>9</v>
      </c>
      <c r="D422" t="s">
        <v>10</v>
      </c>
      <c r="E422">
        <v>1114</v>
      </c>
      <c r="F422" t="b">
        <v>1</v>
      </c>
      <c r="G422" t="str">
        <f>HYPERLINK("https://www.google.com/maps/search/?api=1&amp;query=24.60389191,46.68976118", "View Map")</f>
        <v>View Map</v>
      </c>
    </row>
    <row r="423" spans="1:7" x14ac:dyDescent="0.3">
      <c r="A423" t="s">
        <v>194</v>
      </c>
      <c r="B423" t="s">
        <v>733</v>
      </c>
      <c r="C423" t="s">
        <v>9</v>
      </c>
      <c r="D423" t="s">
        <v>10</v>
      </c>
      <c r="E423">
        <v>1112</v>
      </c>
      <c r="F423" t="b">
        <v>1</v>
      </c>
      <c r="G423" t="str">
        <f>HYPERLINK("https://www.google.com/maps/search/?api=1&amp;query=24.73644933,46.79378428", "View Map")</f>
        <v>View Map</v>
      </c>
    </row>
    <row r="424" spans="1:7" x14ac:dyDescent="0.3">
      <c r="A424" t="s">
        <v>27</v>
      </c>
      <c r="B424" t="s">
        <v>734</v>
      </c>
      <c r="C424" t="s">
        <v>9</v>
      </c>
      <c r="D424" t="s">
        <v>154</v>
      </c>
      <c r="E424">
        <v>1111</v>
      </c>
      <c r="F424" t="b">
        <v>1</v>
      </c>
      <c r="G424" t="str">
        <f>HYPERLINK("https://www.google.com/maps/search/?api=1&amp;query=24.82311751,46.77345016", "View Map")</f>
        <v>View Map</v>
      </c>
    </row>
    <row r="425" spans="1:7" x14ac:dyDescent="0.3">
      <c r="A425" t="s">
        <v>19</v>
      </c>
      <c r="B425" t="s">
        <v>735</v>
      </c>
      <c r="C425" t="s">
        <v>72</v>
      </c>
      <c r="D425" t="s">
        <v>10</v>
      </c>
      <c r="E425">
        <v>1110</v>
      </c>
      <c r="F425" t="b">
        <v>1</v>
      </c>
      <c r="G425" t="str">
        <f>HYPERLINK("https://www.google.com/maps/search/?api=1&amp;query=24.74563765,46.59197015", "View Map")</f>
        <v>View Map</v>
      </c>
    </row>
    <row r="426" spans="1:7" x14ac:dyDescent="0.3">
      <c r="A426" t="s">
        <v>27</v>
      </c>
      <c r="B426" t="s">
        <v>736</v>
      </c>
      <c r="C426" t="s">
        <v>9</v>
      </c>
      <c r="D426" t="s">
        <v>10</v>
      </c>
      <c r="E426">
        <v>1105</v>
      </c>
      <c r="F426" t="b">
        <v>1</v>
      </c>
      <c r="G426" t="str">
        <f>HYPERLINK("https://www.google.com/maps/search/?api=1&amp;query=24.82624901,46.79934931", "View Map")</f>
        <v>View Map</v>
      </c>
    </row>
    <row r="427" spans="1:7" x14ac:dyDescent="0.3">
      <c r="A427" t="s">
        <v>737</v>
      </c>
      <c r="B427" t="s">
        <v>738</v>
      </c>
      <c r="C427" t="s">
        <v>9</v>
      </c>
      <c r="D427" t="s">
        <v>10</v>
      </c>
      <c r="E427">
        <v>1103</v>
      </c>
      <c r="F427" t="b">
        <v>1</v>
      </c>
      <c r="G427" t="str">
        <f>HYPERLINK("https://www.google.com/maps/search/?api=1&amp;query=24.57519491,46.5990841", "View Map")</f>
        <v>View Map</v>
      </c>
    </row>
    <row r="428" spans="1:7" x14ac:dyDescent="0.3">
      <c r="A428" t="s">
        <v>739</v>
      </c>
      <c r="B428" t="s">
        <v>740</v>
      </c>
      <c r="C428" t="s">
        <v>9</v>
      </c>
      <c r="D428" t="s">
        <v>10</v>
      </c>
      <c r="E428">
        <v>1101</v>
      </c>
      <c r="F428" t="b">
        <v>1</v>
      </c>
      <c r="G428" t="str">
        <f>HYPERLINK("https://www.google.com/maps/search/?api=1&amp;query=24.55374905,46.88931426", "View Map")</f>
        <v>View Map</v>
      </c>
    </row>
    <row r="429" spans="1:7" x14ac:dyDescent="0.3">
      <c r="A429" t="s">
        <v>741</v>
      </c>
      <c r="B429" t="s">
        <v>742</v>
      </c>
      <c r="C429" t="s">
        <v>9</v>
      </c>
      <c r="D429" t="s">
        <v>10</v>
      </c>
      <c r="E429">
        <v>1100</v>
      </c>
      <c r="F429" t="b">
        <v>1</v>
      </c>
      <c r="G429" t="str">
        <f>HYPERLINK("https://www.google.com/maps/search/?api=1&amp;query=24.55261447,46.49174604", "View Map")</f>
        <v>View Map</v>
      </c>
    </row>
    <row r="430" spans="1:7" x14ac:dyDescent="0.3">
      <c r="A430" t="s">
        <v>743</v>
      </c>
      <c r="B430" t="s">
        <v>744</v>
      </c>
      <c r="C430" t="s">
        <v>9</v>
      </c>
      <c r="D430" t="s">
        <v>10</v>
      </c>
      <c r="E430">
        <v>1096</v>
      </c>
      <c r="F430" t="b">
        <v>1</v>
      </c>
      <c r="G430" t="str">
        <f>HYPERLINK("https://www.google.com/maps/search/?api=1&amp;query=24.6839708,46.75931963", "View Map")</f>
        <v>View Map</v>
      </c>
    </row>
    <row r="431" spans="1:7" x14ac:dyDescent="0.3">
      <c r="A431" t="s">
        <v>745</v>
      </c>
      <c r="B431" t="s">
        <v>746</v>
      </c>
      <c r="C431" t="s">
        <v>9</v>
      </c>
      <c r="D431" t="s">
        <v>10</v>
      </c>
      <c r="E431">
        <v>1094</v>
      </c>
      <c r="F431" t="b">
        <v>1</v>
      </c>
      <c r="G431" t="str">
        <f>HYPERLINK("https://www.google.com/maps/search/?api=1&amp;query=24.67643014,46.80624134", "View Map")</f>
        <v>View Map</v>
      </c>
    </row>
    <row r="432" spans="1:7" x14ac:dyDescent="0.3">
      <c r="A432" t="s">
        <v>747</v>
      </c>
      <c r="B432" t="s">
        <v>748</v>
      </c>
      <c r="C432" t="s">
        <v>9</v>
      </c>
      <c r="D432" t="s">
        <v>10</v>
      </c>
      <c r="E432">
        <v>1094</v>
      </c>
      <c r="F432" t="b">
        <v>1</v>
      </c>
      <c r="G432" t="str">
        <f>HYPERLINK("https://www.google.com/maps/search/?api=1&amp;query=24.74499644,46.71869362", "View Map")</f>
        <v>View Map</v>
      </c>
    </row>
    <row r="433" spans="1:7" x14ac:dyDescent="0.3">
      <c r="A433" t="s">
        <v>105</v>
      </c>
      <c r="B433" t="s">
        <v>749</v>
      </c>
      <c r="C433" t="s">
        <v>9</v>
      </c>
      <c r="D433" t="s">
        <v>10</v>
      </c>
      <c r="E433">
        <v>1094</v>
      </c>
      <c r="F433" t="b">
        <v>1</v>
      </c>
      <c r="G433" t="str">
        <f>HYPERLINK("https://www.google.com/maps/search/?api=1&amp;query=24.75744134,46.82088493", "View Map")</f>
        <v>View Map</v>
      </c>
    </row>
    <row r="434" spans="1:7" x14ac:dyDescent="0.3">
      <c r="A434" t="s">
        <v>750</v>
      </c>
      <c r="B434" t="s">
        <v>751</v>
      </c>
      <c r="C434" t="s">
        <v>9</v>
      </c>
      <c r="D434" t="s">
        <v>10</v>
      </c>
      <c r="E434">
        <v>1093</v>
      </c>
      <c r="F434" t="b">
        <v>1</v>
      </c>
      <c r="G434" t="str">
        <f>HYPERLINK("https://www.google.com/maps/search/?api=1&amp;query=24.7089,46.7492", "View Map")</f>
        <v>View Map</v>
      </c>
    </row>
    <row r="435" spans="1:7" x14ac:dyDescent="0.3">
      <c r="A435" t="s">
        <v>752</v>
      </c>
      <c r="B435" t="s">
        <v>753</v>
      </c>
      <c r="C435" t="s">
        <v>9</v>
      </c>
      <c r="D435" t="s">
        <v>10</v>
      </c>
      <c r="E435">
        <v>1091</v>
      </c>
      <c r="F435" t="b">
        <v>1</v>
      </c>
      <c r="G435" t="str">
        <f>HYPERLINK("https://www.google.com/maps/search/?api=1&amp;query=24.69849762,46.686346", "View Map")</f>
        <v>View Map</v>
      </c>
    </row>
    <row r="436" spans="1:7" x14ac:dyDescent="0.3">
      <c r="A436" t="s">
        <v>45</v>
      </c>
      <c r="B436" t="s">
        <v>754</v>
      </c>
      <c r="C436" t="s">
        <v>9</v>
      </c>
      <c r="D436" t="s">
        <v>154</v>
      </c>
      <c r="E436">
        <v>1089</v>
      </c>
      <c r="F436" t="b">
        <v>1</v>
      </c>
      <c r="G436" t="str">
        <f>HYPERLINK("https://www.google.com/maps/search/?api=1&amp;query=24.55182071,46.76246338", "View Map")</f>
        <v>View Map</v>
      </c>
    </row>
    <row r="437" spans="1:7" x14ac:dyDescent="0.3">
      <c r="A437" t="s">
        <v>755</v>
      </c>
      <c r="B437" t="s">
        <v>756</v>
      </c>
      <c r="C437" t="s">
        <v>9</v>
      </c>
      <c r="D437" t="s">
        <v>10</v>
      </c>
      <c r="E437">
        <v>1085</v>
      </c>
      <c r="F437" t="b">
        <v>1</v>
      </c>
      <c r="G437" t="str">
        <f>HYPERLINK("https://www.google.com/maps/search/?api=1&amp;query=24.78604308,46.76298235", "View Map")</f>
        <v>View Map</v>
      </c>
    </row>
    <row r="438" spans="1:7" x14ac:dyDescent="0.3">
      <c r="A438" t="s">
        <v>757</v>
      </c>
      <c r="B438" t="s">
        <v>758</v>
      </c>
      <c r="C438" t="s">
        <v>9</v>
      </c>
      <c r="D438" t="s">
        <v>10</v>
      </c>
      <c r="E438">
        <v>1084</v>
      </c>
      <c r="F438" t="b">
        <v>1</v>
      </c>
      <c r="G438" t="str">
        <f>HYPERLINK("https://www.google.com/maps/search/?api=1&amp;query=24.55335453,46.86842219", "View Map")</f>
        <v>View Map</v>
      </c>
    </row>
    <row r="439" spans="1:7" x14ac:dyDescent="0.3">
      <c r="A439" t="s">
        <v>759</v>
      </c>
      <c r="B439" t="s">
        <v>760</v>
      </c>
      <c r="C439" t="s">
        <v>9</v>
      </c>
      <c r="D439" t="s">
        <v>10</v>
      </c>
      <c r="E439">
        <v>1083</v>
      </c>
      <c r="F439" t="b">
        <v>1</v>
      </c>
      <c r="G439" t="str">
        <f>HYPERLINK("https://www.google.com/maps/search/?api=1&amp;query=24.77869471,46.72186221", "View Map")</f>
        <v>View Map</v>
      </c>
    </row>
    <row r="440" spans="1:7" x14ac:dyDescent="0.3">
      <c r="A440" t="s">
        <v>761</v>
      </c>
      <c r="B440" t="s">
        <v>762</v>
      </c>
      <c r="C440" t="s">
        <v>9</v>
      </c>
      <c r="D440" t="s">
        <v>154</v>
      </c>
      <c r="E440">
        <v>1081</v>
      </c>
      <c r="F440" t="b">
        <v>1</v>
      </c>
      <c r="G440" t="str">
        <f>HYPERLINK("https://www.google.com/maps/search/?api=1&amp;query=24.54167953,46.73054959", "View Map")</f>
        <v>View Map</v>
      </c>
    </row>
    <row r="441" spans="1:7" x14ac:dyDescent="0.3">
      <c r="A441" t="s">
        <v>763</v>
      </c>
      <c r="B441" t="s">
        <v>764</v>
      </c>
      <c r="C441" t="s">
        <v>9</v>
      </c>
      <c r="D441" t="s">
        <v>10</v>
      </c>
      <c r="E441">
        <v>1080</v>
      </c>
      <c r="F441" t="b">
        <v>0</v>
      </c>
      <c r="G441" t="str">
        <f>HYPERLINK("https://www.google.com/maps/search/?api=1&amp;query=24.61552342,46.69592561", "View Map")</f>
        <v>View Map</v>
      </c>
    </row>
    <row r="442" spans="1:7" x14ac:dyDescent="0.3">
      <c r="A442" t="s">
        <v>765</v>
      </c>
      <c r="B442" t="s">
        <v>766</v>
      </c>
      <c r="C442" t="s">
        <v>9</v>
      </c>
      <c r="D442" t="s">
        <v>10</v>
      </c>
      <c r="E442">
        <v>1080</v>
      </c>
      <c r="F442" t="b">
        <v>1</v>
      </c>
      <c r="G442" t="str">
        <f>HYPERLINK("https://www.google.com/maps/search/?api=1&amp;query=24.62112977,46.73223297", "View Map")</f>
        <v>View Map</v>
      </c>
    </row>
    <row r="443" spans="1:7" x14ac:dyDescent="0.3">
      <c r="A443" t="s">
        <v>767</v>
      </c>
      <c r="B443" t="s">
        <v>768</v>
      </c>
      <c r="C443" t="s">
        <v>9</v>
      </c>
      <c r="D443" t="s">
        <v>10</v>
      </c>
      <c r="E443">
        <v>1080</v>
      </c>
      <c r="F443" t="b">
        <v>1</v>
      </c>
      <c r="G443" t="str">
        <f>HYPERLINK("https://www.google.com/maps/search/?api=1&amp;query=24.72898476,46.81507056", "View Map")</f>
        <v>View Map</v>
      </c>
    </row>
    <row r="444" spans="1:7" x14ac:dyDescent="0.3">
      <c r="A444" t="s">
        <v>159</v>
      </c>
      <c r="B444" t="s">
        <v>769</v>
      </c>
      <c r="C444" t="s">
        <v>9</v>
      </c>
      <c r="D444" t="s">
        <v>10</v>
      </c>
      <c r="E444">
        <v>1079</v>
      </c>
      <c r="F444" t="b">
        <v>1</v>
      </c>
      <c r="G444" t="str">
        <f>HYPERLINK("https://www.google.com/maps/search/?api=1&amp;query=24.55106877,46.67705814", "View Map")</f>
        <v>View Map</v>
      </c>
    </row>
    <row r="445" spans="1:7" x14ac:dyDescent="0.3">
      <c r="A445" t="s">
        <v>770</v>
      </c>
      <c r="B445" t="s">
        <v>771</v>
      </c>
      <c r="C445" t="s">
        <v>9</v>
      </c>
      <c r="D445" t="s">
        <v>10</v>
      </c>
      <c r="E445">
        <v>1079</v>
      </c>
      <c r="F445" t="b">
        <v>1</v>
      </c>
      <c r="G445" t="str">
        <f>HYPERLINK("https://www.google.com/maps/search/?api=1&amp;query=24.76161484,46.70948484", "View Map")</f>
        <v>View Map</v>
      </c>
    </row>
    <row r="446" spans="1:7" x14ac:dyDescent="0.3">
      <c r="A446" t="s">
        <v>27</v>
      </c>
      <c r="B446" t="s">
        <v>772</v>
      </c>
      <c r="C446" t="s">
        <v>9</v>
      </c>
      <c r="D446" t="s">
        <v>154</v>
      </c>
      <c r="E446">
        <v>1077</v>
      </c>
      <c r="F446" t="b">
        <v>1</v>
      </c>
      <c r="G446" t="str">
        <f>HYPERLINK("https://www.google.com/maps/search/?api=1&amp;query=24.76371,46.69553", "View Map")</f>
        <v>View Map</v>
      </c>
    </row>
    <row r="447" spans="1:7" x14ac:dyDescent="0.3">
      <c r="A447" t="s">
        <v>773</v>
      </c>
      <c r="B447" t="s">
        <v>774</v>
      </c>
      <c r="C447" t="s">
        <v>9</v>
      </c>
      <c r="D447" t="s">
        <v>10</v>
      </c>
      <c r="E447">
        <v>1077</v>
      </c>
      <c r="F447" t="b">
        <v>0</v>
      </c>
      <c r="G447" t="str">
        <f>HYPERLINK("https://www.google.com/maps/search/?api=1&amp;query=24.71694969,46.81369685", "View Map")</f>
        <v>View Map</v>
      </c>
    </row>
    <row r="448" spans="1:7" x14ac:dyDescent="0.3">
      <c r="A448" t="s">
        <v>775</v>
      </c>
      <c r="B448" t="s">
        <v>776</v>
      </c>
      <c r="C448" t="s">
        <v>9</v>
      </c>
      <c r="D448" t="s">
        <v>10</v>
      </c>
      <c r="E448">
        <v>1072</v>
      </c>
      <c r="F448" t="b">
        <v>1</v>
      </c>
      <c r="G448" t="str">
        <f>HYPERLINK("https://www.google.com/maps/search/?api=1&amp;query=24.77811662,46.66856117", "View Map")</f>
        <v>View Map</v>
      </c>
    </row>
    <row r="449" spans="1:7" x14ac:dyDescent="0.3">
      <c r="A449" t="s">
        <v>777</v>
      </c>
      <c r="B449" t="s">
        <v>778</v>
      </c>
      <c r="C449" t="s">
        <v>72</v>
      </c>
      <c r="D449" t="s">
        <v>10</v>
      </c>
      <c r="E449">
        <v>1071</v>
      </c>
      <c r="F449" t="b">
        <v>0</v>
      </c>
      <c r="G449" t="str">
        <f>HYPERLINK("https://www.google.com/maps/search/?api=1&amp;query=24.99390048,46.20736634", "View Map")</f>
        <v>View Map</v>
      </c>
    </row>
    <row r="450" spans="1:7" x14ac:dyDescent="0.3">
      <c r="A450" t="s">
        <v>779</v>
      </c>
      <c r="B450" t="s">
        <v>780</v>
      </c>
      <c r="C450" t="s">
        <v>9</v>
      </c>
      <c r="D450" t="s">
        <v>10</v>
      </c>
      <c r="E450">
        <v>1070</v>
      </c>
      <c r="F450" t="b">
        <v>1</v>
      </c>
      <c r="G450" t="str">
        <f>HYPERLINK("https://www.google.com/maps/search/?api=1&amp;query=24.64145838,46.72166231", "View Map")</f>
        <v>View Map</v>
      </c>
    </row>
    <row r="451" spans="1:7" x14ac:dyDescent="0.3">
      <c r="A451" t="s">
        <v>781</v>
      </c>
      <c r="B451" t="s">
        <v>782</v>
      </c>
      <c r="C451" t="s">
        <v>9</v>
      </c>
      <c r="D451" t="s">
        <v>10</v>
      </c>
      <c r="E451">
        <v>1068</v>
      </c>
      <c r="F451" t="b">
        <v>1</v>
      </c>
      <c r="G451" t="str">
        <f>HYPERLINK("https://www.google.com/maps/search/?api=1&amp;query=24.68022,46.62634", "View Map")</f>
        <v>View Map</v>
      </c>
    </row>
    <row r="452" spans="1:7" x14ac:dyDescent="0.3">
      <c r="A452" t="s">
        <v>783</v>
      </c>
      <c r="B452" t="s">
        <v>784</v>
      </c>
      <c r="C452" t="s">
        <v>9</v>
      </c>
      <c r="D452" t="s">
        <v>10</v>
      </c>
      <c r="E452">
        <v>1066</v>
      </c>
      <c r="F452" t="b">
        <v>1</v>
      </c>
      <c r="G452" t="str">
        <f>HYPERLINK("https://www.google.com/maps/search/?api=1&amp;query=24.71866892,46.78548782", "View Map")</f>
        <v>View Map</v>
      </c>
    </row>
    <row r="453" spans="1:7" x14ac:dyDescent="0.3">
      <c r="A453" t="s">
        <v>785</v>
      </c>
      <c r="B453" t="s">
        <v>786</v>
      </c>
      <c r="C453" t="s">
        <v>9</v>
      </c>
      <c r="D453" t="s">
        <v>10</v>
      </c>
      <c r="E453">
        <v>1066</v>
      </c>
      <c r="F453" t="b">
        <v>1</v>
      </c>
      <c r="G453" t="str">
        <f>HYPERLINK("https://www.google.com/maps/search/?api=1&amp;query=24.61632806,46.64672449", "View Map")</f>
        <v>View Map</v>
      </c>
    </row>
    <row r="454" spans="1:7" x14ac:dyDescent="0.3">
      <c r="A454" t="s">
        <v>787</v>
      </c>
      <c r="B454" t="s">
        <v>788</v>
      </c>
      <c r="C454" t="s">
        <v>9</v>
      </c>
      <c r="D454" t="s">
        <v>10</v>
      </c>
      <c r="E454">
        <v>1065</v>
      </c>
      <c r="F454" t="b">
        <v>1</v>
      </c>
      <c r="G454" t="str">
        <f>HYPERLINK("https://www.google.com/maps/search/?api=1&amp;query=24.78612007,46.71853143", "View Map")</f>
        <v>View Map</v>
      </c>
    </row>
    <row r="455" spans="1:7" x14ac:dyDescent="0.3">
      <c r="A455" t="s">
        <v>789</v>
      </c>
      <c r="B455" t="s">
        <v>790</v>
      </c>
      <c r="C455" t="s">
        <v>9</v>
      </c>
      <c r="D455" t="s">
        <v>154</v>
      </c>
      <c r="E455">
        <v>1064</v>
      </c>
      <c r="F455" t="b">
        <v>1</v>
      </c>
      <c r="G455" t="str">
        <f>HYPERLINK("https://www.google.com/maps/search/?api=1&amp;query=24.57383797,46.78921138", "View Map")</f>
        <v>View Map</v>
      </c>
    </row>
    <row r="456" spans="1:7" x14ac:dyDescent="0.3">
      <c r="A456" t="s">
        <v>791</v>
      </c>
      <c r="B456" t="s">
        <v>792</v>
      </c>
      <c r="C456" t="s">
        <v>9</v>
      </c>
      <c r="D456" t="s">
        <v>10</v>
      </c>
      <c r="E456">
        <v>1060</v>
      </c>
      <c r="F456" t="b">
        <v>1</v>
      </c>
      <c r="G456" t="str">
        <f>HYPERLINK("https://www.google.com/maps/search/?api=1&amp;query=24.6325,46.7125", "View Map")</f>
        <v>View Map</v>
      </c>
    </row>
    <row r="457" spans="1:7" x14ac:dyDescent="0.3">
      <c r="A457" t="s">
        <v>27</v>
      </c>
      <c r="B457" t="s">
        <v>793</v>
      </c>
      <c r="C457" t="s">
        <v>9</v>
      </c>
      <c r="D457" t="s">
        <v>10</v>
      </c>
      <c r="E457">
        <v>1058</v>
      </c>
      <c r="F457" t="b">
        <v>1</v>
      </c>
      <c r="G457" t="str">
        <f>HYPERLINK("https://www.google.com/maps/search/?api=1&amp;query=24.80732227,46.73790035", "View Map")</f>
        <v>View Map</v>
      </c>
    </row>
    <row r="458" spans="1:7" x14ac:dyDescent="0.3">
      <c r="A458" t="s">
        <v>794</v>
      </c>
      <c r="B458" t="s">
        <v>795</v>
      </c>
      <c r="C458" t="s">
        <v>9</v>
      </c>
      <c r="D458" t="s">
        <v>10</v>
      </c>
      <c r="E458">
        <v>1058</v>
      </c>
      <c r="F458" t="b">
        <v>1</v>
      </c>
      <c r="G458" t="str">
        <f>HYPERLINK("https://www.google.com/maps/search/?api=1&amp;query=24.75131436,46.59576032", "View Map")</f>
        <v>View Map</v>
      </c>
    </row>
    <row r="459" spans="1:7" x14ac:dyDescent="0.3">
      <c r="A459" t="s">
        <v>796</v>
      </c>
      <c r="B459" t="s">
        <v>797</v>
      </c>
      <c r="C459" t="s">
        <v>9</v>
      </c>
      <c r="D459" t="s">
        <v>154</v>
      </c>
      <c r="E459">
        <v>1058</v>
      </c>
      <c r="F459" t="b">
        <v>1</v>
      </c>
      <c r="G459" t="str">
        <f>HYPERLINK("https://www.google.com/maps/search/?api=1&amp;query=24.68787843,46.57693484", "View Map")</f>
        <v>View Map</v>
      </c>
    </row>
    <row r="460" spans="1:7" x14ac:dyDescent="0.3">
      <c r="A460" t="s">
        <v>798</v>
      </c>
      <c r="B460" t="s">
        <v>799</v>
      </c>
      <c r="C460" t="s">
        <v>9</v>
      </c>
      <c r="D460" t="s">
        <v>10</v>
      </c>
      <c r="E460">
        <v>1056</v>
      </c>
      <c r="F460" t="b">
        <v>1</v>
      </c>
      <c r="G460" t="str">
        <f>HYPERLINK("https://www.google.com/maps/search/?api=1&amp;query=24.78580006,46.64839887", "View Map")</f>
        <v>View Map</v>
      </c>
    </row>
    <row r="461" spans="1:7" x14ac:dyDescent="0.3">
      <c r="A461" t="s">
        <v>27</v>
      </c>
      <c r="B461" t="s">
        <v>800</v>
      </c>
      <c r="C461" t="s">
        <v>9</v>
      </c>
      <c r="D461" t="s">
        <v>10</v>
      </c>
      <c r="E461">
        <v>1055</v>
      </c>
      <c r="F461" t="b">
        <v>1</v>
      </c>
      <c r="G461" t="str">
        <f>HYPERLINK("https://www.google.com/maps/search/?api=1&amp;query=24.73900405,46.85128239", "View Map")</f>
        <v>View Map</v>
      </c>
    </row>
    <row r="462" spans="1:7" x14ac:dyDescent="0.3">
      <c r="A462" t="s">
        <v>801</v>
      </c>
      <c r="B462" t="s">
        <v>802</v>
      </c>
      <c r="C462" t="s">
        <v>9</v>
      </c>
      <c r="D462" t="s">
        <v>10</v>
      </c>
      <c r="E462">
        <v>1054</v>
      </c>
      <c r="F462" t="b">
        <v>1</v>
      </c>
      <c r="G462" t="str">
        <f>HYPERLINK("https://www.google.com/maps/search/?api=1&amp;query=24.75112788,46.65064676", "View Map")</f>
        <v>View Map</v>
      </c>
    </row>
    <row r="463" spans="1:7" x14ac:dyDescent="0.3">
      <c r="A463" t="s">
        <v>803</v>
      </c>
      <c r="B463" t="s">
        <v>804</v>
      </c>
      <c r="C463" t="s">
        <v>9</v>
      </c>
      <c r="D463" t="s">
        <v>10</v>
      </c>
      <c r="E463">
        <v>1053</v>
      </c>
      <c r="F463" t="b">
        <v>1</v>
      </c>
      <c r="G463" t="str">
        <f>HYPERLINK("https://www.google.com/maps/search/?api=1&amp;query=24.78343952,46.73346747", "View Map")</f>
        <v>View Map</v>
      </c>
    </row>
    <row r="464" spans="1:7" x14ac:dyDescent="0.3">
      <c r="A464" t="s">
        <v>805</v>
      </c>
      <c r="B464" t="s">
        <v>806</v>
      </c>
      <c r="C464" t="s">
        <v>9</v>
      </c>
      <c r="D464" t="s">
        <v>10</v>
      </c>
      <c r="E464">
        <v>1052</v>
      </c>
      <c r="F464" t="b">
        <v>1</v>
      </c>
      <c r="G464" t="str">
        <f>HYPERLINK("https://www.google.com/maps/search/?api=1&amp;query=24.87258727,46.80882715", "View Map")</f>
        <v>View Map</v>
      </c>
    </row>
    <row r="465" spans="1:7" x14ac:dyDescent="0.3">
      <c r="A465" t="s">
        <v>807</v>
      </c>
      <c r="B465" t="s">
        <v>808</v>
      </c>
      <c r="C465" t="s">
        <v>9</v>
      </c>
      <c r="D465" t="s">
        <v>10</v>
      </c>
      <c r="E465">
        <v>1052</v>
      </c>
      <c r="F465" t="b">
        <v>1</v>
      </c>
      <c r="G465" t="str">
        <f>HYPERLINK("https://www.google.com/maps/search/?api=1&amp;query=24.79669619,46.85184418", "View Map")</f>
        <v>View Map</v>
      </c>
    </row>
    <row r="466" spans="1:7" x14ac:dyDescent="0.3">
      <c r="A466" t="s">
        <v>809</v>
      </c>
      <c r="B466" t="s">
        <v>810</v>
      </c>
      <c r="C466" t="s">
        <v>9</v>
      </c>
      <c r="D466" t="s">
        <v>10</v>
      </c>
      <c r="E466">
        <v>1051</v>
      </c>
      <c r="F466" t="b">
        <v>1</v>
      </c>
      <c r="G466" t="str">
        <f>HYPERLINK("https://www.google.com/maps/search/?api=1&amp;query=24.74786077,46.64960265", "View Map")</f>
        <v>View Map</v>
      </c>
    </row>
    <row r="467" spans="1:7" x14ac:dyDescent="0.3">
      <c r="A467" t="s">
        <v>811</v>
      </c>
      <c r="B467" t="s">
        <v>812</v>
      </c>
      <c r="C467" t="s">
        <v>9</v>
      </c>
      <c r="D467" t="s">
        <v>154</v>
      </c>
      <c r="E467">
        <v>1051</v>
      </c>
      <c r="F467" t="b">
        <v>1</v>
      </c>
      <c r="G467" t="str">
        <f>HYPERLINK("https://www.google.com/maps/search/?api=1&amp;query=24.80937133,46.65371925", "View Map")</f>
        <v>View Map</v>
      </c>
    </row>
    <row r="468" spans="1:7" x14ac:dyDescent="0.3">
      <c r="A468" t="s">
        <v>813</v>
      </c>
      <c r="B468" t="s">
        <v>814</v>
      </c>
      <c r="C468" t="s">
        <v>9</v>
      </c>
      <c r="D468" t="s">
        <v>10</v>
      </c>
      <c r="E468">
        <v>1048</v>
      </c>
      <c r="F468" t="b">
        <v>1</v>
      </c>
      <c r="G468" t="str">
        <f>HYPERLINK("https://www.google.com/maps/search/?api=1&amp;query=24.73916575,46.76853328", "View Map")</f>
        <v>View Map</v>
      </c>
    </row>
    <row r="469" spans="1:7" x14ac:dyDescent="0.3">
      <c r="A469" t="s">
        <v>27</v>
      </c>
      <c r="B469" t="s">
        <v>815</v>
      </c>
      <c r="C469" t="s">
        <v>9</v>
      </c>
      <c r="D469" t="s">
        <v>10</v>
      </c>
      <c r="E469">
        <v>1047</v>
      </c>
      <c r="F469" t="b">
        <v>1</v>
      </c>
      <c r="G469" t="str">
        <f>HYPERLINK("https://www.google.com/maps/search/?api=1&amp;query=24.87531205,46.86324002", "View Map")</f>
        <v>View Map</v>
      </c>
    </row>
    <row r="470" spans="1:7" x14ac:dyDescent="0.3">
      <c r="A470" t="s">
        <v>816</v>
      </c>
      <c r="B470" t="s">
        <v>817</v>
      </c>
      <c r="C470" t="s">
        <v>9</v>
      </c>
      <c r="D470" t="s">
        <v>10</v>
      </c>
      <c r="E470">
        <v>1047</v>
      </c>
      <c r="F470" t="b">
        <v>1</v>
      </c>
      <c r="G470" t="str">
        <f>HYPERLINK("https://www.google.com/maps/search/?api=1&amp;query=24.74151523,46.81355322", "View Map")</f>
        <v>View Map</v>
      </c>
    </row>
    <row r="471" spans="1:7" x14ac:dyDescent="0.3">
      <c r="A471" t="s">
        <v>818</v>
      </c>
      <c r="B471" t="s">
        <v>819</v>
      </c>
      <c r="C471" t="s">
        <v>9</v>
      </c>
      <c r="D471" t="s">
        <v>10</v>
      </c>
      <c r="E471">
        <v>1046</v>
      </c>
      <c r="F471" t="b">
        <v>1</v>
      </c>
      <c r="G471" t="str">
        <f>HYPERLINK("https://www.google.com/maps/search/?api=1&amp;query=24.48979644,46.61598214", "View Map")</f>
        <v>View Map</v>
      </c>
    </row>
    <row r="472" spans="1:7" x14ac:dyDescent="0.3">
      <c r="A472" t="s">
        <v>27</v>
      </c>
      <c r="B472" t="s">
        <v>820</v>
      </c>
      <c r="C472" t="s">
        <v>9</v>
      </c>
      <c r="D472" t="s">
        <v>154</v>
      </c>
      <c r="E472">
        <v>1044</v>
      </c>
      <c r="F472" t="b">
        <v>1</v>
      </c>
      <c r="G472" t="str">
        <f>HYPERLINK("https://www.google.com/maps/search/?api=1&amp;query=24.83270518,46.75637819", "View Map")</f>
        <v>View Map</v>
      </c>
    </row>
    <row r="473" spans="1:7" x14ac:dyDescent="0.3">
      <c r="A473" t="s">
        <v>821</v>
      </c>
      <c r="B473" t="s">
        <v>822</v>
      </c>
      <c r="C473" t="s">
        <v>9</v>
      </c>
      <c r="D473" t="s">
        <v>10</v>
      </c>
      <c r="E473">
        <v>1043</v>
      </c>
      <c r="F473" t="b">
        <v>1</v>
      </c>
      <c r="G473" t="str">
        <f>HYPERLINK("https://www.google.com/maps/search/?api=1&amp;query=24.80595262,46.60508968", "View Map")</f>
        <v>View Map</v>
      </c>
    </row>
    <row r="474" spans="1:7" x14ac:dyDescent="0.3">
      <c r="A474" t="s">
        <v>823</v>
      </c>
      <c r="B474" t="s">
        <v>824</v>
      </c>
      <c r="C474" t="s">
        <v>9</v>
      </c>
      <c r="D474" t="s">
        <v>10</v>
      </c>
      <c r="E474">
        <v>1043</v>
      </c>
      <c r="F474" t="b">
        <v>1</v>
      </c>
      <c r="G474" t="str">
        <f>HYPERLINK("https://www.google.com/maps/search/?api=1&amp;query=24.71556644,46.6618734", "View Map")</f>
        <v>View Map</v>
      </c>
    </row>
    <row r="475" spans="1:7" x14ac:dyDescent="0.3">
      <c r="A475" t="s">
        <v>27</v>
      </c>
      <c r="B475" t="s">
        <v>825</v>
      </c>
      <c r="C475" t="s">
        <v>9</v>
      </c>
      <c r="D475" t="s">
        <v>10</v>
      </c>
      <c r="E475">
        <v>1043</v>
      </c>
      <c r="F475" t="b">
        <v>1</v>
      </c>
      <c r="G475" t="str">
        <f>HYPERLINK("https://www.google.com/maps/search/?api=1&amp;query=24.74688546,46.75833224", "View Map")</f>
        <v>View Map</v>
      </c>
    </row>
    <row r="476" spans="1:7" x14ac:dyDescent="0.3">
      <c r="A476" t="s">
        <v>826</v>
      </c>
      <c r="B476" t="s">
        <v>827</v>
      </c>
      <c r="C476" t="s">
        <v>9</v>
      </c>
      <c r="D476" t="s">
        <v>10</v>
      </c>
      <c r="E476">
        <v>1038</v>
      </c>
      <c r="F476" t="b">
        <v>1</v>
      </c>
      <c r="G476" t="str">
        <f>HYPERLINK("https://www.google.com/maps/search/?api=1&amp;query=24.68278566,46.81484869", "View Map")</f>
        <v>View Map</v>
      </c>
    </row>
    <row r="477" spans="1:7" x14ac:dyDescent="0.3">
      <c r="A477" t="s">
        <v>27</v>
      </c>
      <c r="B477" t="s">
        <v>828</v>
      </c>
      <c r="C477" t="s">
        <v>9</v>
      </c>
      <c r="D477" t="s">
        <v>10</v>
      </c>
      <c r="E477">
        <v>1036</v>
      </c>
      <c r="F477" t="b">
        <v>1</v>
      </c>
      <c r="G477" t="str">
        <f>HYPERLINK("https://www.google.com/maps/search/?api=1&amp;query=24.85334648,46.82699941", "View Map")</f>
        <v>View Map</v>
      </c>
    </row>
    <row r="478" spans="1:7" x14ac:dyDescent="0.3">
      <c r="A478" t="s">
        <v>829</v>
      </c>
      <c r="B478" t="s">
        <v>830</v>
      </c>
      <c r="C478" t="s">
        <v>9</v>
      </c>
      <c r="D478" t="s">
        <v>10</v>
      </c>
      <c r="E478">
        <v>1034</v>
      </c>
      <c r="F478" t="b">
        <v>1</v>
      </c>
      <c r="G478" t="str">
        <f>HYPERLINK("https://www.google.com/maps/search/?api=1&amp;query=24.58050058,46.76986772", "View Map")</f>
        <v>View Map</v>
      </c>
    </row>
    <row r="479" spans="1:7" x14ac:dyDescent="0.3">
      <c r="A479" t="s">
        <v>831</v>
      </c>
      <c r="B479" t="s">
        <v>832</v>
      </c>
      <c r="C479" t="s">
        <v>9</v>
      </c>
      <c r="D479" t="s">
        <v>10</v>
      </c>
      <c r="E479">
        <v>1034</v>
      </c>
      <c r="F479" t="b">
        <v>1</v>
      </c>
      <c r="G479" t="str">
        <f>HYPERLINK("https://www.google.com/maps/search/?api=1&amp;query=24.71145632,46.77691234", "View Map")</f>
        <v>View Map</v>
      </c>
    </row>
    <row r="480" spans="1:7" x14ac:dyDescent="0.3">
      <c r="A480" t="s">
        <v>27</v>
      </c>
      <c r="B480" t="s">
        <v>833</v>
      </c>
      <c r="C480" t="s">
        <v>9</v>
      </c>
      <c r="D480" t="s">
        <v>10</v>
      </c>
      <c r="E480">
        <v>1034</v>
      </c>
      <c r="F480" t="b">
        <v>1</v>
      </c>
      <c r="G480" t="str">
        <f>HYPERLINK("https://www.google.com/maps/search/?api=1&amp;query=24.78699481,46.60725271", "View Map")</f>
        <v>View Map</v>
      </c>
    </row>
    <row r="481" spans="1:7" x14ac:dyDescent="0.3">
      <c r="A481" t="s">
        <v>834</v>
      </c>
      <c r="B481" t="s">
        <v>835</v>
      </c>
      <c r="C481" t="s">
        <v>9</v>
      </c>
      <c r="D481" t="s">
        <v>154</v>
      </c>
      <c r="E481">
        <v>1034</v>
      </c>
      <c r="F481" t="b">
        <v>1</v>
      </c>
      <c r="G481" t="str">
        <f>HYPERLINK("https://www.google.com/maps/search/?api=1&amp;query=24.78821659,46.64503146", "View Map")</f>
        <v>View Map</v>
      </c>
    </row>
    <row r="482" spans="1:7" x14ac:dyDescent="0.3">
      <c r="A482" t="s">
        <v>836</v>
      </c>
      <c r="B482" t="s">
        <v>837</v>
      </c>
      <c r="C482" t="s">
        <v>9</v>
      </c>
      <c r="D482" t="s">
        <v>10</v>
      </c>
      <c r="E482">
        <v>1033</v>
      </c>
      <c r="F482" t="b">
        <v>1</v>
      </c>
      <c r="G482" t="str">
        <f>HYPERLINK("https://www.google.com/maps/search/?api=1&amp;query=24.81650648,46.77273439", "View Map")</f>
        <v>View Map</v>
      </c>
    </row>
    <row r="483" spans="1:7" x14ac:dyDescent="0.3">
      <c r="A483" t="s">
        <v>838</v>
      </c>
      <c r="B483" t="s">
        <v>839</v>
      </c>
      <c r="C483" t="s">
        <v>9</v>
      </c>
      <c r="D483" t="s">
        <v>10</v>
      </c>
      <c r="E483">
        <v>1033</v>
      </c>
      <c r="F483" t="b">
        <v>1</v>
      </c>
      <c r="G483" t="str">
        <f>HYPERLINK("https://www.google.com/maps/search/?api=1&amp;query=24.78560178,46.736722", "View Map")</f>
        <v>View Map</v>
      </c>
    </row>
    <row r="484" spans="1:7" x14ac:dyDescent="0.3">
      <c r="A484" t="s">
        <v>840</v>
      </c>
      <c r="B484" t="s">
        <v>841</v>
      </c>
      <c r="C484" t="s">
        <v>9</v>
      </c>
      <c r="D484" t="s">
        <v>154</v>
      </c>
      <c r="E484">
        <v>1033</v>
      </c>
      <c r="F484" t="b">
        <v>1</v>
      </c>
      <c r="G484" t="str">
        <f>HYPERLINK("https://www.google.com/maps/search/?api=1&amp;query=24.58210422,46.83014168", "View Map")</f>
        <v>View Map</v>
      </c>
    </row>
    <row r="485" spans="1:7" x14ac:dyDescent="0.3">
      <c r="A485" t="s">
        <v>842</v>
      </c>
      <c r="B485" t="s">
        <v>843</v>
      </c>
      <c r="C485" t="s">
        <v>9</v>
      </c>
      <c r="D485" t="s">
        <v>10</v>
      </c>
      <c r="E485">
        <v>1030</v>
      </c>
      <c r="F485" t="b">
        <v>1</v>
      </c>
      <c r="G485" t="str">
        <f>HYPERLINK("https://www.google.com/maps/search/?api=1&amp;query=24.64,46.6964", "View Map")</f>
        <v>View Map</v>
      </c>
    </row>
    <row r="486" spans="1:7" x14ac:dyDescent="0.3">
      <c r="A486" t="s">
        <v>194</v>
      </c>
      <c r="B486" t="s">
        <v>844</v>
      </c>
      <c r="C486" t="s">
        <v>9</v>
      </c>
      <c r="D486" t="s">
        <v>10</v>
      </c>
      <c r="E486">
        <v>1030</v>
      </c>
      <c r="F486" t="b">
        <v>1</v>
      </c>
      <c r="G486" t="str">
        <f>HYPERLINK("https://www.google.com/maps/search/?api=1&amp;query=24.82971391,46.73196701", "View Map")</f>
        <v>View Map</v>
      </c>
    </row>
    <row r="487" spans="1:7" x14ac:dyDescent="0.3">
      <c r="A487" t="s">
        <v>845</v>
      </c>
      <c r="B487" t="s">
        <v>846</v>
      </c>
      <c r="C487" t="s">
        <v>9</v>
      </c>
      <c r="D487" t="s">
        <v>10</v>
      </c>
      <c r="E487">
        <v>1029</v>
      </c>
      <c r="F487" t="b">
        <v>1</v>
      </c>
      <c r="G487" t="str">
        <f>HYPERLINK("https://www.google.com/maps/search/?api=1&amp;query=24.78786,46.75252646", "View Map")</f>
        <v>View Map</v>
      </c>
    </row>
    <row r="488" spans="1:7" x14ac:dyDescent="0.3">
      <c r="A488" t="s">
        <v>847</v>
      </c>
      <c r="B488" t="s">
        <v>848</v>
      </c>
      <c r="C488" t="s">
        <v>9</v>
      </c>
      <c r="D488" t="s">
        <v>10</v>
      </c>
      <c r="E488">
        <v>1029</v>
      </c>
      <c r="F488" t="b">
        <v>0</v>
      </c>
      <c r="G488" t="str">
        <f>HYPERLINK("https://www.google.com/maps/search/?api=1&amp;query=24.62542285,46.74880415", "View Map")</f>
        <v>View Map</v>
      </c>
    </row>
    <row r="489" spans="1:7" x14ac:dyDescent="0.3">
      <c r="A489" t="s">
        <v>849</v>
      </c>
      <c r="B489" t="s">
        <v>850</v>
      </c>
      <c r="C489" t="s">
        <v>9</v>
      </c>
      <c r="D489" t="s">
        <v>10</v>
      </c>
      <c r="E489">
        <v>1029</v>
      </c>
      <c r="F489" t="b">
        <v>1</v>
      </c>
      <c r="G489" t="str">
        <f>HYPERLINK("https://www.google.com/maps/search/?api=1&amp;query=24.81829816,46.63466773", "View Map")</f>
        <v>View Map</v>
      </c>
    </row>
    <row r="490" spans="1:7" x14ac:dyDescent="0.3">
      <c r="A490" t="s">
        <v>851</v>
      </c>
      <c r="B490" t="s">
        <v>852</v>
      </c>
      <c r="C490" t="s">
        <v>9</v>
      </c>
      <c r="D490" t="s">
        <v>154</v>
      </c>
      <c r="E490">
        <v>1028</v>
      </c>
      <c r="F490" t="b">
        <v>1</v>
      </c>
      <c r="G490" t="str">
        <f>HYPERLINK("https://www.google.com/maps/search/?api=1&amp;query=24.7786849,46.77117956", "View Map")</f>
        <v>View Map</v>
      </c>
    </row>
    <row r="491" spans="1:7" x14ac:dyDescent="0.3">
      <c r="A491" t="s">
        <v>853</v>
      </c>
      <c r="B491" t="s">
        <v>854</v>
      </c>
      <c r="C491" t="s">
        <v>9</v>
      </c>
      <c r="D491" t="s">
        <v>10</v>
      </c>
      <c r="E491">
        <v>1026</v>
      </c>
      <c r="F491" t="b">
        <v>1</v>
      </c>
      <c r="G491" t="str">
        <f>HYPERLINK("https://www.google.com/maps/search/?api=1&amp;query=24.56843608,46.62294978", "View Map")</f>
        <v>View Map</v>
      </c>
    </row>
    <row r="492" spans="1:7" x14ac:dyDescent="0.3">
      <c r="A492" t="s">
        <v>27</v>
      </c>
      <c r="B492" t="s">
        <v>855</v>
      </c>
      <c r="C492" t="s">
        <v>9</v>
      </c>
      <c r="D492" t="s">
        <v>10</v>
      </c>
      <c r="E492">
        <v>1026</v>
      </c>
      <c r="F492" t="b">
        <v>1</v>
      </c>
      <c r="G492" t="str">
        <f>HYPERLINK("https://www.google.com/maps/search/?api=1&amp;query=24.74721727,46.62628386", "View Map")</f>
        <v>View Map</v>
      </c>
    </row>
    <row r="493" spans="1:7" x14ac:dyDescent="0.3">
      <c r="A493" t="s">
        <v>27</v>
      </c>
      <c r="B493" t="s">
        <v>856</v>
      </c>
      <c r="C493" t="s">
        <v>9</v>
      </c>
      <c r="D493" t="s">
        <v>10</v>
      </c>
      <c r="E493">
        <v>1024</v>
      </c>
      <c r="F493" t="b">
        <v>1</v>
      </c>
      <c r="G493" t="str">
        <f>HYPERLINK("https://www.google.com/maps/search/?api=1&amp;query=24.81797816,46.72120351", "View Map")</f>
        <v>View Map</v>
      </c>
    </row>
    <row r="494" spans="1:7" x14ac:dyDescent="0.3">
      <c r="A494" t="s">
        <v>857</v>
      </c>
      <c r="B494" t="s">
        <v>858</v>
      </c>
      <c r="C494" t="s">
        <v>9</v>
      </c>
      <c r="D494" t="s">
        <v>10</v>
      </c>
      <c r="E494">
        <v>1023</v>
      </c>
      <c r="F494" t="b">
        <v>1</v>
      </c>
      <c r="G494" t="str">
        <f>HYPERLINK("https://www.google.com/maps/search/?api=1&amp;query=24.62685783,46.6557251", "View Map")</f>
        <v>View Map</v>
      </c>
    </row>
    <row r="495" spans="1:7" x14ac:dyDescent="0.3">
      <c r="A495" t="s">
        <v>859</v>
      </c>
      <c r="B495" t="s">
        <v>860</v>
      </c>
      <c r="C495" t="s">
        <v>9</v>
      </c>
      <c r="D495" t="s">
        <v>10</v>
      </c>
      <c r="E495">
        <v>1023</v>
      </c>
      <c r="F495" t="b">
        <v>1</v>
      </c>
      <c r="G495" t="str">
        <f>HYPERLINK("https://www.google.com/maps/search/?api=1&amp;query=24.59058566,46.68904697", "View Map")</f>
        <v>View Map</v>
      </c>
    </row>
    <row r="496" spans="1:7" x14ac:dyDescent="0.3">
      <c r="A496" t="s">
        <v>861</v>
      </c>
      <c r="B496" t="s">
        <v>862</v>
      </c>
      <c r="C496" t="s">
        <v>9</v>
      </c>
      <c r="D496" t="s">
        <v>10</v>
      </c>
      <c r="E496">
        <v>1023</v>
      </c>
      <c r="F496" t="b">
        <v>1</v>
      </c>
      <c r="G496" t="str">
        <f>HYPERLINK("https://www.google.com/maps/search/?api=1&amp;query=24.57545013,46.6309083", "View Map")</f>
        <v>View Map</v>
      </c>
    </row>
    <row r="497" spans="1:7" x14ac:dyDescent="0.3">
      <c r="A497" t="s">
        <v>27</v>
      </c>
      <c r="B497" t="s">
        <v>863</v>
      </c>
      <c r="C497" t="s">
        <v>9</v>
      </c>
      <c r="D497" t="s">
        <v>10</v>
      </c>
      <c r="E497">
        <v>1021</v>
      </c>
      <c r="F497" t="b">
        <v>1</v>
      </c>
      <c r="G497" t="str">
        <f>HYPERLINK("https://www.google.com/maps/search/?api=1&amp;query=24.8373228,46.59367661", "View Map")</f>
        <v>View Map</v>
      </c>
    </row>
    <row r="498" spans="1:7" x14ac:dyDescent="0.3">
      <c r="A498" t="s">
        <v>864</v>
      </c>
      <c r="B498" t="s">
        <v>865</v>
      </c>
      <c r="C498" t="s">
        <v>9</v>
      </c>
      <c r="D498" t="s">
        <v>10</v>
      </c>
      <c r="E498">
        <v>1021</v>
      </c>
      <c r="F498" t="b">
        <v>1</v>
      </c>
      <c r="G498" t="str">
        <f>HYPERLINK("https://www.google.com/maps/search/?api=1&amp;query=24.78322693,46.76769617", "View Map")</f>
        <v>View Map</v>
      </c>
    </row>
    <row r="499" spans="1:7" x14ac:dyDescent="0.3">
      <c r="A499" t="s">
        <v>866</v>
      </c>
      <c r="B499" t="s">
        <v>867</v>
      </c>
      <c r="C499" t="s">
        <v>9</v>
      </c>
      <c r="D499" t="s">
        <v>10</v>
      </c>
      <c r="E499">
        <v>1020</v>
      </c>
      <c r="F499" t="b">
        <v>1</v>
      </c>
      <c r="G499" t="str">
        <f>HYPERLINK("https://www.google.com/maps/search/?api=1&amp;query=24.56370406,46.77201019", "View Map")</f>
        <v>View Map</v>
      </c>
    </row>
    <row r="500" spans="1:7" x14ac:dyDescent="0.3">
      <c r="A500" t="s">
        <v>868</v>
      </c>
      <c r="B500" t="s">
        <v>869</v>
      </c>
      <c r="C500" t="s">
        <v>9</v>
      </c>
      <c r="D500" t="s">
        <v>10</v>
      </c>
      <c r="E500">
        <v>1020</v>
      </c>
      <c r="F500" t="b">
        <v>1</v>
      </c>
      <c r="G500" t="str">
        <f>HYPERLINK("https://www.google.com/maps/search/?api=1&amp;query=24.66092715,46.79239513", "View Map")</f>
        <v>View Map</v>
      </c>
    </row>
    <row r="501" spans="1:7" x14ac:dyDescent="0.3">
      <c r="A501" t="s">
        <v>870</v>
      </c>
      <c r="B501" t="s">
        <v>871</v>
      </c>
      <c r="C501" t="s">
        <v>9</v>
      </c>
      <c r="D501" t="s">
        <v>10</v>
      </c>
      <c r="E501">
        <v>1019</v>
      </c>
      <c r="F501" t="b">
        <v>1</v>
      </c>
      <c r="G501" t="str">
        <f>HYPERLINK("https://www.google.com/maps/search/?api=1&amp;query=24.59470148,46.67763248", "View Map")</f>
        <v>View Map</v>
      </c>
    </row>
    <row r="502" spans="1:7" x14ac:dyDescent="0.3">
      <c r="A502" t="s">
        <v>27</v>
      </c>
      <c r="B502" t="s">
        <v>872</v>
      </c>
      <c r="C502" t="s">
        <v>9</v>
      </c>
      <c r="D502" t="s">
        <v>154</v>
      </c>
      <c r="E502">
        <v>1017</v>
      </c>
      <c r="F502" t="b">
        <v>1</v>
      </c>
      <c r="G502" t="str">
        <f>HYPERLINK("https://www.google.com/maps/search/?api=1&amp;query=24.8034611,46.84307362", "View Map")</f>
        <v>View Map</v>
      </c>
    </row>
    <row r="503" spans="1:7" x14ac:dyDescent="0.3">
      <c r="A503" t="s">
        <v>873</v>
      </c>
      <c r="B503" t="s">
        <v>874</v>
      </c>
      <c r="C503" t="s">
        <v>9</v>
      </c>
      <c r="D503" t="s">
        <v>10</v>
      </c>
      <c r="E503">
        <v>1016</v>
      </c>
      <c r="F503" t="b">
        <v>1</v>
      </c>
      <c r="G503" t="str">
        <f>HYPERLINK("https://www.google.com/maps/search/?api=1&amp;query=24.7585534,46.65049362", "View Map")</f>
        <v>View Map</v>
      </c>
    </row>
    <row r="504" spans="1:7" x14ac:dyDescent="0.3">
      <c r="A504" t="s">
        <v>875</v>
      </c>
      <c r="B504" t="s">
        <v>876</v>
      </c>
      <c r="C504" t="s">
        <v>9</v>
      </c>
      <c r="D504" t="s">
        <v>10</v>
      </c>
      <c r="E504">
        <v>1012</v>
      </c>
      <c r="F504" t="b">
        <v>1</v>
      </c>
      <c r="G504" t="str">
        <f>HYPERLINK("https://www.google.com/maps/search/?api=1&amp;query=24.57489369,46.76836296", "View Map")</f>
        <v>View Map</v>
      </c>
    </row>
    <row r="505" spans="1:7" x14ac:dyDescent="0.3">
      <c r="A505" t="s">
        <v>877</v>
      </c>
      <c r="B505" t="s">
        <v>878</v>
      </c>
      <c r="C505" t="s">
        <v>9</v>
      </c>
      <c r="D505" t="s">
        <v>10</v>
      </c>
      <c r="E505">
        <v>1011</v>
      </c>
      <c r="F505" t="b">
        <v>1</v>
      </c>
      <c r="G505" t="str">
        <f>HYPERLINK("https://www.google.com/maps/search/?api=1&amp;query=24.66957461,46.70044643", "View Map")</f>
        <v>View Map</v>
      </c>
    </row>
    <row r="506" spans="1:7" x14ac:dyDescent="0.3">
      <c r="A506" t="s">
        <v>879</v>
      </c>
      <c r="B506" t="s">
        <v>880</v>
      </c>
      <c r="C506" t="s">
        <v>9</v>
      </c>
      <c r="D506" t="s">
        <v>10</v>
      </c>
      <c r="E506">
        <v>1011</v>
      </c>
      <c r="F506" t="b">
        <v>1</v>
      </c>
      <c r="G506" t="str">
        <f>HYPERLINK("https://www.google.com/maps/search/?api=1&amp;query=24.69873387,46.76547353", "View Map")</f>
        <v>View Map</v>
      </c>
    </row>
    <row r="507" spans="1:7" x14ac:dyDescent="0.3">
      <c r="A507" t="s">
        <v>881</v>
      </c>
      <c r="B507" t="s">
        <v>882</v>
      </c>
      <c r="C507" t="s">
        <v>9</v>
      </c>
      <c r="D507" t="s">
        <v>10</v>
      </c>
      <c r="E507">
        <v>1010</v>
      </c>
      <c r="F507" t="b">
        <v>1</v>
      </c>
      <c r="G507" t="str">
        <f>HYPERLINK("https://www.google.com/maps/search/?api=1&amp;query=24.64249818,46.70717456", "View Map")</f>
        <v>View Map</v>
      </c>
    </row>
    <row r="508" spans="1:7" x14ac:dyDescent="0.3">
      <c r="A508" t="s">
        <v>883</v>
      </c>
      <c r="B508" t="s">
        <v>884</v>
      </c>
      <c r="C508" t="s">
        <v>9</v>
      </c>
      <c r="D508" t="s">
        <v>154</v>
      </c>
      <c r="E508">
        <v>1007</v>
      </c>
      <c r="F508" t="b">
        <v>1</v>
      </c>
      <c r="G508" t="str">
        <f>HYPERLINK("https://www.google.com/maps/search/?api=1&amp;query=24.59312243,46.63023738", "View Map")</f>
        <v>View Map</v>
      </c>
    </row>
    <row r="509" spans="1:7" x14ac:dyDescent="0.3">
      <c r="A509" t="s">
        <v>885</v>
      </c>
      <c r="B509" t="s">
        <v>886</v>
      </c>
      <c r="C509" t="s">
        <v>9</v>
      </c>
      <c r="D509" t="s">
        <v>10</v>
      </c>
      <c r="E509">
        <v>1002</v>
      </c>
      <c r="F509" t="b">
        <v>1</v>
      </c>
      <c r="G509" t="str">
        <f>HYPERLINK("https://www.google.com/maps/search/?api=1&amp;query=24.67914182,46.67245604", "View Map")</f>
        <v>View Map</v>
      </c>
    </row>
    <row r="510" spans="1:7" x14ac:dyDescent="0.3">
      <c r="A510" t="s">
        <v>887</v>
      </c>
      <c r="B510" t="s">
        <v>888</v>
      </c>
      <c r="C510" t="s">
        <v>9</v>
      </c>
      <c r="D510" t="s">
        <v>10</v>
      </c>
      <c r="E510">
        <v>1002</v>
      </c>
      <c r="F510" t="b">
        <v>1</v>
      </c>
      <c r="G510" t="str">
        <f>HYPERLINK("https://www.google.com/maps/search/?api=1&amp;query=24.61121842,46.75690634", "View Map")</f>
        <v>View Map</v>
      </c>
    </row>
    <row r="511" spans="1:7" x14ac:dyDescent="0.3">
      <c r="A511" t="s">
        <v>390</v>
      </c>
      <c r="B511" t="s">
        <v>889</v>
      </c>
      <c r="C511" t="s">
        <v>9</v>
      </c>
      <c r="D511" t="s">
        <v>154</v>
      </c>
      <c r="E511">
        <v>1001</v>
      </c>
      <c r="F511" t="b">
        <v>1</v>
      </c>
      <c r="G511" t="str">
        <f>HYPERLINK("https://www.google.com/maps/search/?api=1&amp;query=24.64274007,46.56680742", "View Map")</f>
        <v>View Map</v>
      </c>
    </row>
    <row r="512" spans="1:7" x14ac:dyDescent="0.3">
      <c r="A512" t="s">
        <v>890</v>
      </c>
      <c r="B512" t="s">
        <v>891</v>
      </c>
      <c r="C512" t="s">
        <v>9</v>
      </c>
      <c r="D512" t="s">
        <v>10</v>
      </c>
      <c r="E512">
        <v>1001</v>
      </c>
      <c r="F512" t="b">
        <v>1</v>
      </c>
      <c r="G512" t="str">
        <f>HYPERLINK("https://www.google.com/maps/search/?api=1&amp;query=24.74282844,46.76123553", "View Map")</f>
        <v>View Map</v>
      </c>
    </row>
    <row r="513" spans="1:7" x14ac:dyDescent="0.3">
      <c r="A513" t="s">
        <v>892</v>
      </c>
      <c r="B513" t="s">
        <v>893</v>
      </c>
      <c r="C513" t="s">
        <v>9</v>
      </c>
      <c r="D513" t="s">
        <v>10</v>
      </c>
      <c r="E513">
        <v>999</v>
      </c>
      <c r="F513" t="b">
        <v>1</v>
      </c>
      <c r="G513" t="str">
        <f>HYPERLINK("https://www.google.com/maps/search/?api=1&amp;query=24.63351133,46.75650956", "View Map")</f>
        <v>View Map</v>
      </c>
    </row>
    <row r="514" spans="1:7" x14ac:dyDescent="0.3">
      <c r="A514" t="s">
        <v>894</v>
      </c>
      <c r="B514" t="s">
        <v>895</v>
      </c>
      <c r="C514" t="s">
        <v>9</v>
      </c>
      <c r="D514" t="s">
        <v>10</v>
      </c>
      <c r="E514">
        <v>996</v>
      </c>
      <c r="F514" t="b">
        <v>1</v>
      </c>
      <c r="G514" t="str">
        <f>HYPERLINK("https://www.google.com/maps/search/?api=1&amp;query=24.75000313,46.74563075", "View Map")</f>
        <v>View Map</v>
      </c>
    </row>
    <row r="515" spans="1:7" x14ac:dyDescent="0.3">
      <c r="A515" t="s">
        <v>896</v>
      </c>
      <c r="B515" t="s">
        <v>897</v>
      </c>
      <c r="C515" t="s">
        <v>9</v>
      </c>
      <c r="D515" t="s">
        <v>10</v>
      </c>
      <c r="E515">
        <v>996</v>
      </c>
      <c r="F515" t="b">
        <v>1</v>
      </c>
      <c r="G515" t="str">
        <f>HYPERLINK("https://www.google.com/maps/search/?api=1&amp;query=24.66875972,46.73301653", "View Map")</f>
        <v>View Map</v>
      </c>
    </row>
    <row r="516" spans="1:7" x14ac:dyDescent="0.3">
      <c r="A516" t="s">
        <v>898</v>
      </c>
      <c r="B516" t="s">
        <v>899</v>
      </c>
      <c r="C516" t="s">
        <v>9</v>
      </c>
      <c r="D516" t="s">
        <v>10</v>
      </c>
      <c r="E516">
        <v>995</v>
      </c>
      <c r="F516" t="b">
        <v>1</v>
      </c>
      <c r="G516" t="str">
        <f>HYPERLINK("https://www.google.com/maps/search/?api=1&amp;query=24.73232027,46.68662811", "View Map")</f>
        <v>View Map</v>
      </c>
    </row>
    <row r="517" spans="1:7" x14ac:dyDescent="0.3">
      <c r="A517" t="s">
        <v>900</v>
      </c>
      <c r="B517" t="s">
        <v>901</v>
      </c>
      <c r="C517" t="s">
        <v>9</v>
      </c>
      <c r="D517" t="s">
        <v>10</v>
      </c>
      <c r="E517">
        <v>993</v>
      </c>
      <c r="F517" t="b">
        <v>1</v>
      </c>
      <c r="G517" t="str">
        <f>HYPERLINK("https://www.google.com/maps/search/?api=1&amp;query=24.72207968,46.80221719", "View Map")</f>
        <v>View Map</v>
      </c>
    </row>
    <row r="518" spans="1:7" x14ac:dyDescent="0.3">
      <c r="A518" t="s">
        <v>902</v>
      </c>
      <c r="B518" t="s">
        <v>903</v>
      </c>
      <c r="C518" t="s">
        <v>9</v>
      </c>
      <c r="D518" t="s">
        <v>154</v>
      </c>
      <c r="E518">
        <v>993</v>
      </c>
      <c r="F518" t="b">
        <v>0</v>
      </c>
      <c r="G518" t="str">
        <f>HYPERLINK("https://www.google.com/maps/search/?api=1&amp;query=24.6969462,46.73807151", "View Map")</f>
        <v>View Map</v>
      </c>
    </row>
    <row r="519" spans="1:7" x14ac:dyDescent="0.3">
      <c r="A519" t="s">
        <v>194</v>
      </c>
      <c r="B519" t="s">
        <v>904</v>
      </c>
      <c r="C519" t="s">
        <v>9</v>
      </c>
      <c r="D519" t="s">
        <v>154</v>
      </c>
      <c r="E519">
        <v>993</v>
      </c>
      <c r="F519" t="b">
        <v>1</v>
      </c>
      <c r="G519" t="str">
        <f>HYPERLINK("https://www.google.com/maps/search/?api=1&amp;query=24.82533509,46.74783763", "View Map")</f>
        <v>View Map</v>
      </c>
    </row>
    <row r="520" spans="1:7" x14ac:dyDescent="0.3">
      <c r="A520" t="s">
        <v>329</v>
      </c>
      <c r="B520" t="s">
        <v>905</v>
      </c>
      <c r="C520" t="s">
        <v>9</v>
      </c>
      <c r="D520" t="s">
        <v>10</v>
      </c>
      <c r="E520">
        <v>993</v>
      </c>
      <c r="F520" t="b">
        <v>1</v>
      </c>
      <c r="G520" t="str">
        <f>HYPERLINK("https://www.google.com/maps/search/?api=1&amp;query=24.70711492,46.78274636", "View Map")</f>
        <v>View Map</v>
      </c>
    </row>
    <row r="521" spans="1:7" x14ac:dyDescent="0.3">
      <c r="A521" t="s">
        <v>159</v>
      </c>
      <c r="B521" t="s">
        <v>906</v>
      </c>
      <c r="C521" t="s">
        <v>9</v>
      </c>
      <c r="D521" t="s">
        <v>10</v>
      </c>
      <c r="E521">
        <v>991</v>
      </c>
      <c r="F521" t="b">
        <v>1</v>
      </c>
      <c r="G521" t="str">
        <f>HYPERLINK("https://www.google.com/maps/search/?api=1&amp;query=24.6122,46.7017", "View Map")</f>
        <v>View Map</v>
      </c>
    </row>
    <row r="522" spans="1:7" x14ac:dyDescent="0.3">
      <c r="A522" t="s">
        <v>907</v>
      </c>
      <c r="B522" t="s">
        <v>908</v>
      </c>
      <c r="C522" t="s">
        <v>9</v>
      </c>
      <c r="D522" t="s">
        <v>10</v>
      </c>
      <c r="E522">
        <v>991</v>
      </c>
      <c r="F522" t="b">
        <v>1</v>
      </c>
      <c r="G522" t="str">
        <f>HYPERLINK("https://www.google.com/maps/search/?api=1&amp;query=24.58069407,46.67935242", "View Map")</f>
        <v>View Map</v>
      </c>
    </row>
    <row r="523" spans="1:7" x14ac:dyDescent="0.3">
      <c r="A523" t="s">
        <v>909</v>
      </c>
      <c r="B523" t="s">
        <v>910</v>
      </c>
      <c r="C523" t="s">
        <v>9</v>
      </c>
      <c r="D523" t="s">
        <v>10</v>
      </c>
      <c r="E523">
        <v>990</v>
      </c>
      <c r="F523" t="b">
        <v>1</v>
      </c>
      <c r="G523" t="str">
        <f>HYPERLINK("https://www.google.com/maps/search/?api=1&amp;query=24.76982841,46.75012222", "View Map")</f>
        <v>View Map</v>
      </c>
    </row>
    <row r="524" spans="1:7" x14ac:dyDescent="0.3">
      <c r="A524" t="s">
        <v>19</v>
      </c>
      <c r="B524" t="s">
        <v>911</v>
      </c>
      <c r="C524" t="s">
        <v>9</v>
      </c>
      <c r="D524" t="s">
        <v>10</v>
      </c>
      <c r="E524">
        <v>989</v>
      </c>
      <c r="F524" t="b">
        <v>1</v>
      </c>
      <c r="G524" t="str">
        <f>HYPERLINK("https://www.google.com/maps/search/?api=1&amp;query=24.80736,46.60096", "View Map")</f>
        <v>View Map</v>
      </c>
    </row>
    <row r="525" spans="1:7" x14ac:dyDescent="0.3">
      <c r="A525" t="s">
        <v>912</v>
      </c>
      <c r="B525" t="s">
        <v>913</v>
      </c>
      <c r="C525" t="s">
        <v>9</v>
      </c>
      <c r="D525" t="s">
        <v>10</v>
      </c>
      <c r="E525">
        <v>988</v>
      </c>
      <c r="F525" t="b">
        <v>1</v>
      </c>
      <c r="G525" t="str">
        <f>HYPERLINK("https://www.google.com/maps/search/?api=1&amp;query=24.75627161,46.79285684", "View Map")</f>
        <v>View Map</v>
      </c>
    </row>
    <row r="526" spans="1:7" x14ac:dyDescent="0.3">
      <c r="A526" t="s">
        <v>914</v>
      </c>
      <c r="B526" t="s">
        <v>915</v>
      </c>
      <c r="C526" t="s">
        <v>72</v>
      </c>
      <c r="D526" t="s">
        <v>10</v>
      </c>
      <c r="E526">
        <v>983</v>
      </c>
      <c r="F526" t="b">
        <v>0</v>
      </c>
      <c r="G526" t="str">
        <f>HYPERLINK("https://www.google.com/maps/search/?api=1&amp;query=24.75422669,46.56276034", "View Map")</f>
        <v>View Map</v>
      </c>
    </row>
    <row r="527" spans="1:7" x14ac:dyDescent="0.3">
      <c r="A527" t="s">
        <v>390</v>
      </c>
      <c r="B527" t="s">
        <v>916</v>
      </c>
      <c r="C527" t="s">
        <v>9</v>
      </c>
      <c r="D527" t="s">
        <v>10</v>
      </c>
      <c r="E527">
        <v>983</v>
      </c>
      <c r="F527" t="b">
        <v>1</v>
      </c>
      <c r="G527" t="str">
        <f>HYPERLINK("https://www.google.com/maps/search/?api=1&amp;query=24.62550515,46.52090561", "View Map")</f>
        <v>View Map</v>
      </c>
    </row>
    <row r="528" spans="1:7" x14ac:dyDescent="0.3">
      <c r="A528" t="s">
        <v>917</v>
      </c>
      <c r="B528" t="s">
        <v>918</v>
      </c>
      <c r="C528" t="s">
        <v>9</v>
      </c>
      <c r="D528" t="s">
        <v>10</v>
      </c>
      <c r="E528">
        <v>982</v>
      </c>
      <c r="F528" t="b">
        <v>1</v>
      </c>
      <c r="G528" t="str">
        <f>HYPERLINK("https://www.google.com/maps/search/?api=1&amp;query=24.57511972,46.6178974", "View Map")</f>
        <v>View Map</v>
      </c>
    </row>
    <row r="529" spans="1:7" x14ac:dyDescent="0.3">
      <c r="A529" t="s">
        <v>919</v>
      </c>
      <c r="B529" t="s">
        <v>920</v>
      </c>
      <c r="C529" t="s">
        <v>9</v>
      </c>
      <c r="D529" t="s">
        <v>10</v>
      </c>
      <c r="E529">
        <v>982</v>
      </c>
      <c r="F529" t="b">
        <v>1</v>
      </c>
      <c r="G529" t="str">
        <f>HYPERLINK("https://www.google.com/maps/search/?api=1&amp;query=24.57250535,46.65660856", "View Map")</f>
        <v>View Map</v>
      </c>
    </row>
    <row r="530" spans="1:7" x14ac:dyDescent="0.3">
      <c r="A530" t="s">
        <v>504</v>
      </c>
      <c r="B530" t="s">
        <v>921</v>
      </c>
      <c r="C530" t="s">
        <v>9</v>
      </c>
      <c r="D530" t="s">
        <v>10</v>
      </c>
      <c r="E530">
        <v>982</v>
      </c>
      <c r="F530" t="b">
        <v>1</v>
      </c>
      <c r="G530" t="str">
        <f>HYPERLINK("https://www.google.com/maps/search/?api=1&amp;query=24.57611727,46.57332223", "View Map")</f>
        <v>View Map</v>
      </c>
    </row>
    <row r="531" spans="1:7" x14ac:dyDescent="0.3">
      <c r="A531" t="s">
        <v>922</v>
      </c>
      <c r="B531" t="s">
        <v>923</v>
      </c>
      <c r="C531" t="s">
        <v>9</v>
      </c>
      <c r="D531" t="s">
        <v>10</v>
      </c>
      <c r="E531">
        <v>981</v>
      </c>
      <c r="F531" t="b">
        <v>1</v>
      </c>
      <c r="G531" t="str">
        <f>HYPERLINK("https://www.google.com/maps/search/?api=1&amp;query=24.80381167,46.79835328", "View Map")</f>
        <v>View Map</v>
      </c>
    </row>
    <row r="532" spans="1:7" x14ac:dyDescent="0.3">
      <c r="A532" t="s">
        <v>924</v>
      </c>
      <c r="B532" t="s">
        <v>925</v>
      </c>
      <c r="C532" t="s">
        <v>9</v>
      </c>
      <c r="D532" t="s">
        <v>10</v>
      </c>
      <c r="E532">
        <v>981</v>
      </c>
      <c r="F532" t="b">
        <v>1</v>
      </c>
      <c r="G532" t="str">
        <f>HYPERLINK("https://www.google.com/maps/search/?api=1&amp;query=24.5617344,46.63880384", "View Map")</f>
        <v>View Map</v>
      </c>
    </row>
    <row r="533" spans="1:7" x14ac:dyDescent="0.3">
      <c r="A533" t="s">
        <v>926</v>
      </c>
      <c r="B533" t="s">
        <v>927</v>
      </c>
      <c r="C533" t="s">
        <v>9</v>
      </c>
      <c r="D533" t="s">
        <v>10</v>
      </c>
      <c r="E533">
        <v>976</v>
      </c>
      <c r="F533" t="b">
        <v>1</v>
      </c>
      <c r="G533" t="str">
        <f>HYPERLINK("https://www.google.com/maps/search/?api=1&amp;query=24.73660421,46.76481192", "View Map")</f>
        <v>View Map</v>
      </c>
    </row>
    <row r="534" spans="1:7" x14ac:dyDescent="0.3">
      <c r="A534" t="s">
        <v>27</v>
      </c>
      <c r="B534" t="s">
        <v>928</v>
      </c>
      <c r="C534" t="s">
        <v>9</v>
      </c>
      <c r="D534" t="s">
        <v>154</v>
      </c>
      <c r="E534">
        <v>976</v>
      </c>
      <c r="F534" t="b">
        <v>1</v>
      </c>
      <c r="G534" t="str">
        <f>HYPERLINK("https://www.google.com/maps/search/?api=1&amp;query=24.73728402,46.78538541", "View Map")</f>
        <v>View Map</v>
      </c>
    </row>
    <row r="535" spans="1:7" x14ac:dyDescent="0.3">
      <c r="A535" t="s">
        <v>929</v>
      </c>
      <c r="B535" t="s">
        <v>930</v>
      </c>
      <c r="C535" t="s">
        <v>9</v>
      </c>
      <c r="D535" t="s">
        <v>10</v>
      </c>
      <c r="E535">
        <v>976</v>
      </c>
      <c r="F535" t="b">
        <v>0</v>
      </c>
      <c r="G535" t="str">
        <f>HYPERLINK("https://www.google.com/maps/search/?api=1&amp;query=24.81008175,46.60339533", "View Map")</f>
        <v>View Map</v>
      </c>
    </row>
    <row r="536" spans="1:7" x14ac:dyDescent="0.3">
      <c r="A536" t="s">
        <v>931</v>
      </c>
      <c r="B536" t="s">
        <v>932</v>
      </c>
      <c r="C536" t="s">
        <v>9</v>
      </c>
      <c r="D536" t="s">
        <v>10</v>
      </c>
      <c r="E536">
        <v>975</v>
      </c>
      <c r="F536" t="b">
        <v>1</v>
      </c>
      <c r="G536" t="str">
        <f>HYPERLINK("https://www.google.com/maps/search/?api=1&amp;query=24.69716626,46.75205603", "View Map")</f>
        <v>View Map</v>
      </c>
    </row>
    <row r="537" spans="1:7" x14ac:dyDescent="0.3">
      <c r="A537" t="s">
        <v>933</v>
      </c>
      <c r="B537" t="s">
        <v>934</v>
      </c>
      <c r="C537" t="s">
        <v>9</v>
      </c>
      <c r="D537" t="s">
        <v>10</v>
      </c>
      <c r="E537">
        <v>975</v>
      </c>
      <c r="F537" t="b">
        <v>1</v>
      </c>
      <c r="G537" t="str">
        <f>HYPERLINK("https://www.google.com/maps/search/?api=1&amp;query=24.81112149,46.79641324", "View Map")</f>
        <v>View Map</v>
      </c>
    </row>
    <row r="538" spans="1:7" x14ac:dyDescent="0.3">
      <c r="A538" t="s">
        <v>935</v>
      </c>
      <c r="B538" t="s">
        <v>936</v>
      </c>
      <c r="C538" t="s">
        <v>9</v>
      </c>
      <c r="D538" t="s">
        <v>10</v>
      </c>
      <c r="E538">
        <v>973</v>
      </c>
      <c r="F538" t="b">
        <v>1</v>
      </c>
      <c r="G538" t="str">
        <f>HYPERLINK("https://www.google.com/maps/search/?api=1&amp;query=24.81254218,46.77939426", "View Map")</f>
        <v>View Map</v>
      </c>
    </row>
    <row r="539" spans="1:7" x14ac:dyDescent="0.3">
      <c r="A539" t="s">
        <v>937</v>
      </c>
      <c r="B539" t="s">
        <v>938</v>
      </c>
      <c r="C539" t="s">
        <v>9</v>
      </c>
      <c r="D539" t="s">
        <v>10</v>
      </c>
      <c r="E539">
        <v>973</v>
      </c>
      <c r="F539" t="b">
        <v>1</v>
      </c>
      <c r="G539" t="str">
        <f>HYPERLINK("https://www.google.com/maps/search/?api=1&amp;query=24.7432809,46.78827508", "View Map")</f>
        <v>View Map</v>
      </c>
    </row>
    <row r="540" spans="1:7" x14ac:dyDescent="0.3">
      <c r="A540" t="s">
        <v>939</v>
      </c>
      <c r="B540" t="s">
        <v>940</v>
      </c>
      <c r="C540" t="s">
        <v>9</v>
      </c>
      <c r="D540" t="s">
        <v>10</v>
      </c>
      <c r="E540">
        <v>972</v>
      </c>
      <c r="F540" t="b">
        <v>1</v>
      </c>
      <c r="G540" t="str">
        <f>HYPERLINK("https://www.google.com/maps/search/?api=1&amp;query=24.79444339,46.67263107", "View Map")</f>
        <v>View Map</v>
      </c>
    </row>
    <row r="541" spans="1:7" x14ac:dyDescent="0.3">
      <c r="A541" t="s">
        <v>941</v>
      </c>
      <c r="B541" t="s">
        <v>942</v>
      </c>
      <c r="C541" t="s">
        <v>9</v>
      </c>
      <c r="D541" t="s">
        <v>10</v>
      </c>
      <c r="E541">
        <v>972</v>
      </c>
      <c r="F541" t="b">
        <v>1</v>
      </c>
      <c r="G541" t="str">
        <f>HYPERLINK("https://www.google.com/maps/search/?api=1&amp;query=24.77286418,46.75116341", "View Map")</f>
        <v>View Map</v>
      </c>
    </row>
    <row r="542" spans="1:7" x14ac:dyDescent="0.3">
      <c r="A542" t="s">
        <v>27</v>
      </c>
      <c r="B542" t="s">
        <v>943</v>
      </c>
      <c r="C542" t="s">
        <v>9</v>
      </c>
      <c r="D542" t="s">
        <v>154</v>
      </c>
      <c r="E542">
        <v>970</v>
      </c>
      <c r="F542" t="b">
        <v>1</v>
      </c>
      <c r="G542" t="str">
        <f>HYPERLINK("https://www.google.com/maps/search/?api=1&amp;query=24.806819,46.82055937", "View Map")</f>
        <v>View Map</v>
      </c>
    </row>
    <row r="543" spans="1:7" x14ac:dyDescent="0.3">
      <c r="A543" t="s">
        <v>27</v>
      </c>
      <c r="B543" t="s">
        <v>944</v>
      </c>
      <c r="C543" t="s">
        <v>9</v>
      </c>
      <c r="D543" t="s">
        <v>10</v>
      </c>
      <c r="E543">
        <v>967</v>
      </c>
      <c r="F543" t="b">
        <v>1</v>
      </c>
      <c r="G543" t="str">
        <f>HYPERLINK("https://www.google.com/maps/search/?api=1&amp;query=24.83501,46.59884", "View Map")</f>
        <v>View Map</v>
      </c>
    </row>
    <row r="544" spans="1:7" x14ac:dyDescent="0.3">
      <c r="A544" t="s">
        <v>27</v>
      </c>
      <c r="B544" t="s">
        <v>945</v>
      </c>
      <c r="C544" t="s">
        <v>9</v>
      </c>
      <c r="D544" t="s">
        <v>10</v>
      </c>
      <c r="E544">
        <v>962</v>
      </c>
      <c r="F544" t="b">
        <v>1</v>
      </c>
      <c r="G544" t="str">
        <f>HYPERLINK("https://www.google.com/maps/search/?api=1&amp;query=24.59832019,46.77224332", "View Map")</f>
        <v>View Map</v>
      </c>
    </row>
    <row r="545" spans="1:7" x14ac:dyDescent="0.3">
      <c r="A545" t="s">
        <v>946</v>
      </c>
      <c r="B545" t="s">
        <v>947</v>
      </c>
      <c r="C545" t="s">
        <v>9</v>
      </c>
      <c r="D545" t="s">
        <v>10</v>
      </c>
      <c r="E545">
        <v>961</v>
      </c>
      <c r="F545" t="b">
        <v>1</v>
      </c>
      <c r="G545" t="str">
        <f>HYPERLINK("https://www.google.com/maps/search/?api=1&amp;query=24.63730564,46.73632813", "View Map")</f>
        <v>View Map</v>
      </c>
    </row>
    <row r="546" spans="1:7" x14ac:dyDescent="0.3">
      <c r="A546" t="s">
        <v>948</v>
      </c>
      <c r="B546" t="s">
        <v>949</v>
      </c>
      <c r="C546" t="s">
        <v>9</v>
      </c>
      <c r="D546" t="s">
        <v>10</v>
      </c>
      <c r="E546">
        <v>960</v>
      </c>
      <c r="F546" t="b">
        <v>1</v>
      </c>
      <c r="G546" t="str">
        <f>HYPERLINK("https://www.google.com/maps/search/?api=1&amp;query=24.57478232,46.54426344", "View Map")</f>
        <v>View Map</v>
      </c>
    </row>
    <row r="547" spans="1:7" x14ac:dyDescent="0.3">
      <c r="A547" t="s">
        <v>27</v>
      </c>
      <c r="B547" t="s">
        <v>950</v>
      </c>
      <c r="C547" t="s">
        <v>9</v>
      </c>
      <c r="D547" t="s">
        <v>10</v>
      </c>
      <c r="E547">
        <v>960</v>
      </c>
      <c r="F547" t="b">
        <v>1</v>
      </c>
      <c r="G547" t="str">
        <f>HYPERLINK("https://www.google.com/maps/search/?api=1&amp;query=24.8476377,46.79006813", "View Map")</f>
        <v>View Map</v>
      </c>
    </row>
    <row r="548" spans="1:7" x14ac:dyDescent="0.3">
      <c r="A548" t="s">
        <v>951</v>
      </c>
      <c r="B548" t="s">
        <v>952</v>
      </c>
      <c r="C548" t="s">
        <v>9</v>
      </c>
      <c r="D548" t="s">
        <v>10</v>
      </c>
      <c r="E548">
        <v>959</v>
      </c>
      <c r="F548" t="b">
        <v>1</v>
      </c>
      <c r="G548" t="str">
        <f>HYPERLINK("https://www.google.com/maps/search/?api=1&amp;query=24.67259,46.71596", "View Map")</f>
        <v>View Map</v>
      </c>
    </row>
    <row r="549" spans="1:7" x14ac:dyDescent="0.3">
      <c r="A549" t="s">
        <v>27</v>
      </c>
      <c r="B549" t="s">
        <v>953</v>
      </c>
      <c r="C549" t="s">
        <v>9</v>
      </c>
      <c r="D549" t="s">
        <v>10</v>
      </c>
      <c r="E549">
        <v>958</v>
      </c>
      <c r="F549" t="b">
        <v>1</v>
      </c>
      <c r="G549" t="str">
        <f>HYPERLINK("https://www.google.com/maps/search/?api=1&amp;query=24.75768663,46.75600076", "View Map")</f>
        <v>View Map</v>
      </c>
    </row>
    <row r="550" spans="1:7" x14ac:dyDescent="0.3">
      <c r="A550" t="s">
        <v>954</v>
      </c>
      <c r="B550" t="s">
        <v>955</v>
      </c>
      <c r="C550" t="s">
        <v>9</v>
      </c>
      <c r="D550" t="s">
        <v>10</v>
      </c>
      <c r="E550">
        <v>957</v>
      </c>
      <c r="F550" t="b">
        <v>1</v>
      </c>
      <c r="G550" t="str">
        <f>HYPERLINK("https://www.google.com/maps/search/?api=1&amp;query=24.58115827,46.57092668", "View Map")</f>
        <v>View Map</v>
      </c>
    </row>
    <row r="551" spans="1:7" x14ac:dyDescent="0.3">
      <c r="A551" t="s">
        <v>159</v>
      </c>
      <c r="B551" t="s">
        <v>956</v>
      </c>
      <c r="C551" t="s">
        <v>9</v>
      </c>
      <c r="D551" t="s">
        <v>154</v>
      </c>
      <c r="E551">
        <v>956</v>
      </c>
      <c r="F551" t="b">
        <v>1</v>
      </c>
      <c r="G551" t="str">
        <f>HYPERLINK("https://www.google.com/maps/search/?api=1&amp;query=24.55488805,46.58872846", "View Map")</f>
        <v>View Map</v>
      </c>
    </row>
    <row r="552" spans="1:7" x14ac:dyDescent="0.3">
      <c r="A552" t="s">
        <v>957</v>
      </c>
      <c r="B552" t="s">
        <v>958</v>
      </c>
      <c r="C552" t="s">
        <v>9</v>
      </c>
      <c r="D552" t="s">
        <v>10</v>
      </c>
      <c r="E552">
        <v>956</v>
      </c>
      <c r="F552" t="b">
        <v>1</v>
      </c>
      <c r="G552" t="str">
        <f>HYPERLINK("https://www.google.com/maps/search/?api=1&amp;query=24.65428805,46.74159627", "View Map")</f>
        <v>View Map</v>
      </c>
    </row>
    <row r="553" spans="1:7" x14ac:dyDescent="0.3">
      <c r="A553" t="s">
        <v>27</v>
      </c>
      <c r="B553" t="s">
        <v>959</v>
      </c>
      <c r="C553" t="s">
        <v>9</v>
      </c>
      <c r="D553" t="s">
        <v>10</v>
      </c>
      <c r="E553">
        <v>955</v>
      </c>
      <c r="F553" t="b">
        <v>1</v>
      </c>
      <c r="G553" t="str">
        <f>HYPERLINK("https://www.google.com/maps/search/?api=1&amp;query=24.82043797,46.58948209", "View Map")</f>
        <v>View Map</v>
      </c>
    </row>
    <row r="554" spans="1:7" x14ac:dyDescent="0.3">
      <c r="A554" t="s">
        <v>960</v>
      </c>
      <c r="B554" t="s">
        <v>961</v>
      </c>
      <c r="C554" t="s">
        <v>9</v>
      </c>
      <c r="D554" t="s">
        <v>10</v>
      </c>
      <c r="E554">
        <v>954</v>
      </c>
      <c r="F554" t="b">
        <v>1</v>
      </c>
      <c r="G554" t="str">
        <f>HYPERLINK("https://www.google.com/maps/search/?api=1&amp;query=24.55615944,46.70645238", "View Map")</f>
        <v>View Map</v>
      </c>
    </row>
    <row r="555" spans="1:7" x14ac:dyDescent="0.3">
      <c r="A555" t="s">
        <v>194</v>
      </c>
      <c r="B555" t="s">
        <v>962</v>
      </c>
      <c r="C555" t="s">
        <v>9</v>
      </c>
      <c r="D555" t="s">
        <v>10</v>
      </c>
      <c r="E555">
        <v>954</v>
      </c>
      <c r="F555" t="b">
        <v>1</v>
      </c>
      <c r="G555" t="str">
        <f>HYPERLINK("https://www.google.com/maps/search/?api=1&amp;query=24.8436,46.8181", "View Map")</f>
        <v>View Map</v>
      </c>
    </row>
    <row r="556" spans="1:7" x14ac:dyDescent="0.3">
      <c r="A556" t="s">
        <v>194</v>
      </c>
      <c r="B556" t="s">
        <v>963</v>
      </c>
      <c r="C556" t="s">
        <v>9</v>
      </c>
      <c r="D556" t="s">
        <v>10</v>
      </c>
      <c r="E556">
        <v>953</v>
      </c>
      <c r="F556" t="b">
        <v>0</v>
      </c>
      <c r="G556" t="str">
        <f>HYPERLINK("https://www.google.com/maps/search/?api=1&amp;query=24.85586175,46.81746251", "View Map")</f>
        <v>View Map</v>
      </c>
    </row>
    <row r="557" spans="1:7" x14ac:dyDescent="0.3">
      <c r="A557" t="s">
        <v>27</v>
      </c>
      <c r="B557" t="s">
        <v>964</v>
      </c>
      <c r="C557" t="s">
        <v>9</v>
      </c>
      <c r="D557" t="s">
        <v>10</v>
      </c>
      <c r="E557">
        <v>953</v>
      </c>
      <c r="F557" t="b">
        <v>1</v>
      </c>
      <c r="G557" t="str">
        <f>HYPERLINK("https://www.google.com/maps/search/?api=1&amp;query=24.55117376,46.77483011", "View Map")</f>
        <v>View Map</v>
      </c>
    </row>
    <row r="558" spans="1:7" x14ac:dyDescent="0.3">
      <c r="A558" t="s">
        <v>965</v>
      </c>
      <c r="B558" t="s">
        <v>966</v>
      </c>
      <c r="C558" t="s">
        <v>9</v>
      </c>
      <c r="D558" t="s">
        <v>10</v>
      </c>
      <c r="E558">
        <v>952</v>
      </c>
      <c r="F558" t="b">
        <v>1</v>
      </c>
      <c r="G558" t="str">
        <f>HYPERLINK("https://www.google.com/maps/search/?api=1&amp;query=24.70771,46.67637", "View Map")</f>
        <v>View Map</v>
      </c>
    </row>
    <row r="559" spans="1:7" x14ac:dyDescent="0.3">
      <c r="A559" t="s">
        <v>27</v>
      </c>
      <c r="B559" t="s">
        <v>967</v>
      </c>
      <c r="C559" t="s">
        <v>9</v>
      </c>
      <c r="D559" t="s">
        <v>10</v>
      </c>
      <c r="E559">
        <v>951</v>
      </c>
      <c r="F559" t="b">
        <v>1</v>
      </c>
      <c r="G559" t="str">
        <f>HYPERLINK("https://www.google.com/maps/search/?api=1&amp;query=24.84817858,46.82772415", "View Map")</f>
        <v>View Map</v>
      </c>
    </row>
    <row r="560" spans="1:7" x14ac:dyDescent="0.3">
      <c r="A560" t="s">
        <v>968</v>
      </c>
      <c r="B560" t="s">
        <v>969</v>
      </c>
      <c r="C560" t="s">
        <v>9</v>
      </c>
      <c r="D560" t="s">
        <v>10</v>
      </c>
      <c r="E560">
        <v>951</v>
      </c>
      <c r="F560" t="b">
        <v>1</v>
      </c>
      <c r="G560" t="str">
        <f>HYPERLINK("https://www.google.com/maps/search/?api=1&amp;query=24.79693803,46.79002441", "View Map")</f>
        <v>View Map</v>
      </c>
    </row>
    <row r="561" spans="1:7" x14ac:dyDescent="0.3">
      <c r="A561" t="s">
        <v>970</v>
      </c>
      <c r="B561" t="s">
        <v>971</v>
      </c>
      <c r="C561" t="s">
        <v>9</v>
      </c>
      <c r="D561" t="s">
        <v>10</v>
      </c>
      <c r="E561">
        <v>947</v>
      </c>
      <c r="F561" t="b">
        <v>1</v>
      </c>
      <c r="G561" t="str">
        <f>HYPERLINK("https://www.google.com/maps/search/?api=1&amp;query=24.7280551,46.82088315", "View Map")</f>
        <v>View Map</v>
      </c>
    </row>
    <row r="562" spans="1:7" x14ac:dyDescent="0.3">
      <c r="A562" t="s">
        <v>27</v>
      </c>
      <c r="B562" t="s">
        <v>972</v>
      </c>
      <c r="C562" t="s">
        <v>9</v>
      </c>
      <c r="D562" t="s">
        <v>10</v>
      </c>
      <c r="E562">
        <v>945</v>
      </c>
      <c r="F562" t="b">
        <v>1</v>
      </c>
      <c r="G562" t="str">
        <f>HYPERLINK("https://www.google.com/maps/search/?api=1&amp;query=24.67755331,46.74678615", "View Map")</f>
        <v>View Map</v>
      </c>
    </row>
    <row r="563" spans="1:7" x14ac:dyDescent="0.3">
      <c r="A563" t="s">
        <v>973</v>
      </c>
      <c r="B563" t="s">
        <v>974</v>
      </c>
      <c r="C563" t="s">
        <v>9</v>
      </c>
      <c r="D563" t="s">
        <v>10</v>
      </c>
      <c r="E563">
        <v>944</v>
      </c>
      <c r="F563" t="b">
        <v>1</v>
      </c>
      <c r="G563" t="str">
        <f>HYPERLINK("https://www.google.com/maps/search/?api=1&amp;query=24.68166379,46.80459328", "View Map")</f>
        <v>View Map</v>
      </c>
    </row>
    <row r="564" spans="1:7" x14ac:dyDescent="0.3">
      <c r="A564" t="s">
        <v>975</v>
      </c>
      <c r="B564" t="s">
        <v>976</v>
      </c>
      <c r="C564" t="s">
        <v>9</v>
      </c>
      <c r="D564" t="s">
        <v>154</v>
      </c>
      <c r="E564">
        <v>944</v>
      </c>
      <c r="F564" t="b">
        <v>1</v>
      </c>
      <c r="G564" t="str">
        <f>HYPERLINK("https://www.google.com/maps/search/?api=1&amp;query=24.76785944,46.7377981", "View Map")</f>
        <v>View Map</v>
      </c>
    </row>
    <row r="565" spans="1:7" x14ac:dyDescent="0.3">
      <c r="A565" t="s">
        <v>977</v>
      </c>
      <c r="B565" t="s">
        <v>978</v>
      </c>
      <c r="C565" t="s">
        <v>9</v>
      </c>
      <c r="D565" t="s">
        <v>154</v>
      </c>
      <c r="E565">
        <v>941</v>
      </c>
      <c r="F565" t="b">
        <v>1</v>
      </c>
      <c r="G565" t="str">
        <f>HYPERLINK("https://www.google.com/maps/search/?api=1&amp;query=24.76813,46.653602", "View Map")</f>
        <v>View Map</v>
      </c>
    </row>
    <row r="566" spans="1:7" x14ac:dyDescent="0.3">
      <c r="A566" t="s">
        <v>979</v>
      </c>
      <c r="B566" t="s">
        <v>980</v>
      </c>
      <c r="C566" t="s">
        <v>9</v>
      </c>
      <c r="D566" t="s">
        <v>10</v>
      </c>
      <c r="E566">
        <v>941</v>
      </c>
      <c r="F566" t="b">
        <v>0</v>
      </c>
      <c r="G566" t="str">
        <f>HYPERLINK("https://www.google.com/maps/search/?api=1&amp;query=24.56661351,46.6275459", "View Map")</f>
        <v>View Map</v>
      </c>
    </row>
    <row r="567" spans="1:7" x14ac:dyDescent="0.3">
      <c r="A567" t="s">
        <v>981</v>
      </c>
      <c r="B567" t="s">
        <v>982</v>
      </c>
      <c r="C567" t="s">
        <v>9</v>
      </c>
      <c r="D567" t="s">
        <v>154</v>
      </c>
      <c r="E567">
        <v>940</v>
      </c>
      <c r="F567" t="b">
        <v>1</v>
      </c>
      <c r="G567" t="str">
        <f>HYPERLINK("https://www.google.com/maps/search/?api=1&amp;query=24.60070906,46.64569344", "View Map")</f>
        <v>View Map</v>
      </c>
    </row>
    <row r="568" spans="1:7" x14ac:dyDescent="0.3">
      <c r="A568" t="s">
        <v>983</v>
      </c>
      <c r="B568" t="s">
        <v>984</v>
      </c>
      <c r="C568" t="s">
        <v>9</v>
      </c>
      <c r="D568" t="s">
        <v>10</v>
      </c>
      <c r="E568">
        <v>939</v>
      </c>
      <c r="F568" t="b">
        <v>1</v>
      </c>
      <c r="G568" t="str">
        <f>HYPERLINK("https://www.google.com/maps/search/?api=1&amp;query=24.82493525,46.60410168", "View Map")</f>
        <v>View Map</v>
      </c>
    </row>
    <row r="569" spans="1:7" x14ac:dyDescent="0.3">
      <c r="A569" t="s">
        <v>985</v>
      </c>
      <c r="B569" t="s">
        <v>986</v>
      </c>
      <c r="C569" t="s">
        <v>9</v>
      </c>
      <c r="D569" t="s">
        <v>10</v>
      </c>
      <c r="E569">
        <v>939</v>
      </c>
      <c r="F569" t="b">
        <v>1</v>
      </c>
      <c r="G569" t="str">
        <f>HYPERLINK("https://www.google.com/maps/search/?api=1&amp;query=24.81092439,46.85793814", "View Map")</f>
        <v>View Map</v>
      </c>
    </row>
    <row r="570" spans="1:7" x14ac:dyDescent="0.3">
      <c r="A570" t="s">
        <v>226</v>
      </c>
      <c r="B570" t="s">
        <v>987</v>
      </c>
      <c r="C570" t="s">
        <v>9</v>
      </c>
      <c r="D570" t="s">
        <v>10</v>
      </c>
      <c r="E570">
        <v>939</v>
      </c>
      <c r="F570" t="b">
        <v>1</v>
      </c>
      <c r="G570" t="str">
        <f>HYPERLINK("https://www.google.com/maps/search/?api=1&amp;query=24.7625263,46.79104833", "View Map")</f>
        <v>View Map</v>
      </c>
    </row>
    <row r="571" spans="1:7" x14ac:dyDescent="0.3">
      <c r="A571" t="s">
        <v>988</v>
      </c>
      <c r="B571" t="s">
        <v>989</v>
      </c>
      <c r="C571" t="s">
        <v>9</v>
      </c>
      <c r="D571" t="s">
        <v>10</v>
      </c>
      <c r="E571">
        <v>936</v>
      </c>
      <c r="F571" t="b">
        <v>1</v>
      </c>
      <c r="G571" t="str">
        <f>HYPERLINK("https://www.google.com/maps/search/?api=1&amp;query=24.7703171,46.73542049", "View Map")</f>
        <v>View Map</v>
      </c>
    </row>
    <row r="572" spans="1:7" x14ac:dyDescent="0.3">
      <c r="A572" t="s">
        <v>990</v>
      </c>
      <c r="B572" t="s">
        <v>991</v>
      </c>
      <c r="C572" t="s">
        <v>9</v>
      </c>
      <c r="D572" t="s">
        <v>10</v>
      </c>
      <c r="E572">
        <v>934</v>
      </c>
      <c r="F572" t="b">
        <v>1</v>
      </c>
      <c r="G572" t="str">
        <f>HYPERLINK("https://www.google.com/maps/search/?api=1&amp;query=24.74996795,46.83261496", "View Map")</f>
        <v>View Map</v>
      </c>
    </row>
    <row r="573" spans="1:7" x14ac:dyDescent="0.3">
      <c r="A573" t="s">
        <v>992</v>
      </c>
      <c r="B573" t="s">
        <v>993</v>
      </c>
      <c r="C573" t="s">
        <v>9</v>
      </c>
      <c r="D573" t="s">
        <v>10</v>
      </c>
      <c r="E573">
        <v>933</v>
      </c>
      <c r="F573" t="b">
        <v>1</v>
      </c>
      <c r="G573" t="str">
        <f>HYPERLINK("https://www.google.com/maps/search/?api=1&amp;query=24.68834519,46.68858984", "View Map")</f>
        <v>View Map</v>
      </c>
    </row>
    <row r="574" spans="1:7" x14ac:dyDescent="0.3">
      <c r="A574" t="s">
        <v>994</v>
      </c>
      <c r="B574" t="s">
        <v>995</v>
      </c>
      <c r="C574" t="s">
        <v>9</v>
      </c>
      <c r="D574" t="s">
        <v>10</v>
      </c>
      <c r="E574">
        <v>932</v>
      </c>
      <c r="F574" t="b">
        <v>1</v>
      </c>
      <c r="G574" t="str">
        <f>HYPERLINK("https://www.google.com/maps/search/?api=1&amp;query=24.53179082,46.68905157", "View Map")</f>
        <v>View Map</v>
      </c>
    </row>
    <row r="575" spans="1:7" x14ac:dyDescent="0.3">
      <c r="A575" t="s">
        <v>996</v>
      </c>
      <c r="B575" t="s">
        <v>997</v>
      </c>
      <c r="C575" t="s">
        <v>9</v>
      </c>
      <c r="D575" t="s">
        <v>10</v>
      </c>
      <c r="E575">
        <v>931</v>
      </c>
      <c r="F575" t="b">
        <v>1</v>
      </c>
      <c r="G575" t="str">
        <f>HYPERLINK("https://www.google.com/maps/search/?api=1&amp;query=24.58412341,46.55240009", "View Map")</f>
        <v>View Map</v>
      </c>
    </row>
    <row r="576" spans="1:7" x14ac:dyDescent="0.3">
      <c r="A576" t="s">
        <v>998</v>
      </c>
      <c r="B576" t="s">
        <v>999</v>
      </c>
      <c r="C576" t="s">
        <v>9</v>
      </c>
      <c r="D576" t="s">
        <v>10</v>
      </c>
      <c r="E576">
        <v>930</v>
      </c>
      <c r="F576" t="b">
        <v>1</v>
      </c>
      <c r="G576" t="str">
        <f>HYPERLINK("https://www.google.com/maps/search/?api=1&amp;query=24.6494479,46.76635901", "View Map")</f>
        <v>View Map</v>
      </c>
    </row>
    <row r="577" spans="1:7" x14ac:dyDescent="0.3">
      <c r="A577" t="s">
        <v>1000</v>
      </c>
      <c r="B577" t="s">
        <v>1001</v>
      </c>
      <c r="C577" t="s">
        <v>9</v>
      </c>
      <c r="D577" t="s">
        <v>154</v>
      </c>
      <c r="E577">
        <v>929</v>
      </c>
      <c r="F577" t="b">
        <v>1</v>
      </c>
      <c r="G577" t="str">
        <f>HYPERLINK("https://www.google.com/maps/search/?api=1&amp;query=24.64139568,46.84214511", "View Map")</f>
        <v>View Map</v>
      </c>
    </row>
    <row r="578" spans="1:7" x14ac:dyDescent="0.3">
      <c r="A578" t="s">
        <v>159</v>
      </c>
      <c r="B578" t="s">
        <v>1002</v>
      </c>
      <c r="C578" t="s">
        <v>9</v>
      </c>
      <c r="D578" t="s">
        <v>10</v>
      </c>
      <c r="E578">
        <v>928</v>
      </c>
      <c r="F578" t="b">
        <v>1</v>
      </c>
      <c r="G578" t="str">
        <f>HYPERLINK("https://www.google.com/maps/search/?api=1&amp;query=24.57384886,46.71337917", "View Map")</f>
        <v>View Map</v>
      </c>
    </row>
    <row r="579" spans="1:7" x14ac:dyDescent="0.3">
      <c r="A579" t="s">
        <v>1003</v>
      </c>
      <c r="B579" t="s">
        <v>1004</v>
      </c>
      <c r="C579" t="s">
        <v>9</v>
      </c>
      <c r="D579" t="s">
        <v>10</v>
      </c>
      <c r="E579">
        <v>928</v>
      </c>
      <c r="F579" t="b">
        <v>1</v>
      </c>
      <c r="G579" t="str">
        <f>HYPERLINK("https://www.google.com/maps/search/?api=1&amp;query=24.7820034,46.63845924", "View Map")</f>
        <v>View Map</v>
      </c>
    </row>
    <row r="580" spans="1:7" x14ac:dyDescent="0.3">
      <c r="A580" t="s">
        <v>1005</v>
      </c>
      <c r="B580" t="s">
        <v>1006</v>
      </c>
      <c r="C580" t="s">
        <v>9</v>
      </c>
      <c r="D580" t="s">
        <v>154</v>
      </c>
      <c r="E580">
        <v>925</v>
      </c>
      <c r="F580" t="b">
        <v>1</v>
      </c>
      <c r="G580" t="str">
        <f>HYPERLINK("https://www.google.com/maps/search/?api=1&amp;query=24.71732238,46.77786977", "View Map")</f>
        <v>View Map</v>
      </c>
    </row>
    <row r="581" spans="1:7" x14ac:dyDescent="0.3">
      <c r="A581" t="s">
        <v>1007</v>
      </c>
      <c r="B581" t="s">
        <v>1008</v>
      </c>
      <c r="C581" t="s">
        <v>9</v>
      </c>
      <c r="D581" t="s">
        <v>10</v>
      </c>
      <c r="E581">
        <v>923</v>
      </c>
      <c r="F581" t="b">
        <v>1</v>
      </c>
      <c r="G581" t="str">
        <f>HYPERLINK("https://www.google.com/maps/search/?api=1&amp;query=24.7204502,46.84371582", "View Map")</f>
        <v>View Map</v>
      </c>
    </row>
    <row r="582" spans="1:7" x14ac:dyDescent="0.3">
      <c r="A582" t="s">
        <v>1009</v>
      </c>
      <c r="B582" t="s">
        <v>1010</v>
      </c>
      <c r="C582" t="s">
        <v>9</v>
      </c>
      <c r="D582" t="s">
        <v>154</v>
      </c>
      <c r="E582">
        <v>922</v>
      </c>
      <c r="F582" t="b">
        <v>1</v>
      </c>
      <c r="G582" t="str">
        <f>HYPERLINK("https://www.google.com/maps/search/?api=1&amp;query=24.67065671,46.80566227", "View Map")</f>
        <v>View Map</v>
      </c>
    </row>
    <row r="583" spans="1:7" x14ac:dyDescent="0.3">
      <c r="A583" t="s">
        <v>941</v>
      </c>
      <c r="B583" t="s">
        <v>1011</v>
      </c>
      <c r="C583" t="s">
        <v>9</v>
      </c>
      <c r="D583" t="s">
        <v>10</v>
      </c>
      <c r="E583">
        <v>921</v>
      </c>
      <c r="F583" t="b">
        <v>1</v>
      </c>
      <c r="G583" t="str">
        <f>HYPERLINK("https://www.google.com/maps/search/?api=1&amp;query=24.76978416,46.77890583", "View Map")</f>
        <v>View Map</v>
      </c>
    </row>
    <row r="584" spans="1:7" x14ac:dyDescent="0.3">
      <c r="A584" t="s">
        <v>513</v>
      </c>
      <c r="B584" t="s">
        <v>1012</v>
      </c>
      <c r="C584" t="s">
        <v>9</v>
      </c>
      <c r="D584" t="s">
        <v>154</v>
      </c>
      <c r="E584">
        <v>920</v>
      </c>
      <c r="F584" t="b">
        <v>1</v>
      </c>
      <c r="G584" t="str">
        <f>HYPERLINK("https://www.google.com/maps/search/?api=1&amp;query=24.71118916,46.80532115", "View Map")</f>
        <v>View Map</v>
      </c>
    </row>
    <row r="585" spans="1:7" x14ac:dyDescent="0.3">
      <c r="A585" t="s">
        <v>1013</v>
      </c>
      <c r="B585" t="s">
        <v>1014</v>
      </c>
      <c r="C585" t="s">
        <v>9</v>
      </c>
      <c r="D585" t="s">
        <v>154</v>
      </c>
      <c r="E585">
        <v>919</v>
      </c>
      <c r="F585" t="b">
        <v>1</v>
      </c>
      <c r="G585" t="str">
        <f>HYPERLINK("https://www.google.com/maps/search/?api=1&amp;query=24.75376616,46.70238851", "View Map")</f>
        <v>View Map</v>
      </c>
    </row>
    <row r="586" spans="1:7" x14ac:dyDescent="0.3">
      <c r="A586" t="s">
        <v>27</v>
      </c>
      <c r="B586" t="s">
        <v>1015</v>
      </c>
      <c r="C586" t="s">
        <v>9</v>
      </c>
      <c r="D586" t="s">
        <v>10</v>
      </c>
      <c r="E586">
        <v>919</v>
      </c>
      <c r="F586" t="b">
        <v>1</v>
      </c>
      <c r="G586" t="str">
        <f>HYPERLINK("https://www.google.com/maps/search/?api=1&amp;query=24.83368578,46.78245431", "View Map")</f>
        <v>View Map</v>
      </c>
    </row>
    <row r="587" spans="1:7" x14ac:dyDescent="0.3">
      <c r="A587" t="s">
        <v>1016</v>
      </c>
      <c r="B587" t="s">
        <v>1017</v>
      </c>
      <c r="C587" t="s">
        <v>9</v>
      </c>
      <c r="D587" t="s">
        <v>10</v>
      </c>
      <c r="E587">
        <v>917</v>
      </c>
      <c r="F587" t="b">
        <v>1</v>
      </c>
      <c r="G587" t="str">
        <f>HYPERLINK("https://www.google.com/maps/search/?api=1&amp;query=24.72195266,46.81280705", "View Map")</f>
        <v>View Map</v>
      </c>
    </row>
    <row r="588" spans="1:7" x14ac:dyDescent="0.3">
      <c r="A588" t="s">
        <v>27</v>
      </c>
      <c r="B588" t="s">
        <v>1018</v>
      </c>
      <c r="C588" t="s">
        <v>9</v>
      </c>
      <c r="D588" t="s">
        <v>10</v>
      </c>
      <c r="E588">
        <v>917</v>
      </c>
      <c r="F588" t="b">
        <v>1</v>
      </c>
      <c r="G588" t="str">
        <f>HYPERLINK("https://www.google.com/maps/search/?api=1&amp;query=24.86698,46.62094", "View Map")</f>
        <v>View Map</v>
      </c>
    </row>
    <row r="589" spans="1:7" x14ac:dyDescent="0.3">
      <c r="A589" t="s">
        <v>19</v>
      </c>
      <c r="B589" t="s">
        <v>1019</v>
      </c>
      <c r="C589" t="s">
        <v>9</v>
      </c>
      <c r="D589" t="s">
        <v>10</v>
      </c>
      <c r="E589">
        <v>914</v>
      </c>
      <c r="F589" t="b">
        <v>1</v>
      </c>
      <c r="G589" t="str">
        <f>HYPERLINK("https://www.google.com/maps/search/?api=1&amp;query=24.82283085,46.59988485", "View Map")</f>
        <v>View Map</v>
      </c>
    </row>
    <row r="590" spans="1:7" x14ac:dyDescent="0.3">
      <c r="A590" t="s">
        <v>1020</v>
      </c>
      <c r="B590" t="s">
        <v>1021</v>
      </c>
      <c r="C590" t="s">
        <v>9</v>
      </c>
      <c r="D590" t="s">
        <v>10</v>
      </c>
      <c r="E590">
        <v>912</v>
      </c>
      <c r="F590" t="b">
        <v>1</v>
      </c>
      <c r="G590" t="str">
        <f>HYPERLINK("https://www.google.com/maps/search/?api=1&amp;query=24.57459988,46.58496426", "View Map")</f>
        <v>View Map</v>
      </c>
    </row>
    <row r="591" spans="1:7" x14ac:dyDescent="0.3">
      <c r="A591" t="s">
        <v>1022</v>
      </c>
      <c r="B591" t="s">
        <v>1023</v>
      </c>
      <c r="C591" t="s">
        <v>9</v>
      </c>
      <c r="D591" t="s">
        <v>10</v>
      </c>
      <c r="E591">
        <v>911</v>
      </c>
      <c r="F591" t="b">
        <v>1</v>
      </c>
      <c r="G591" t="str">
        <f>HYPERLINK("https://www.google.com/maps/search/?api=1&amp;query=24.753885,46.71888321", "View Map")</f>
        <v>View Map</v>
      </c>
    </row>
    <row r="592" spans="1:7" x14ac:dyDescent="0.3">
      <c r="A592" t="s">
        <v>281</v>
      </c>
      <c r="B592" t="s">
        <v>1024</v>
      </c>
      <c r="C592" t="s">
        <v>9</v>
      </c>
      <c r="D592" t="s">
        <v>10</v>
      </c>
      <c r="E592">
        <v>911</v>
      </c>
      <c r="F592" t="b">
        <v>1</v>
      </c>
      <c r="G592" t="str">
        <f>HYPERLINK("https://www.google.com/maps/search/?api=1&amp;query=24.67811386,46.70644698", "View Map")</f>
        <v>View Map</v>
      </c>
    </row>
    <row r="593" spans="1:7" x14ac:dyDescent="0.3">
      <c r="A593" t="s">
        <v>159</v>
      </c>
      <c r="B593" t="s">
        <v>1025</v>
      </c>
      <c r="C593" t="s">
        <v>9</v>
      </c>
      <c r="D593" t="s">
        <v>10</v>
      </c>
      <c r="E593">
        <v>911</v>
      </c>
      <c r="F593" t="b">
        <v>1</v>
      </c>
      <c r="G593" t="str">
        <f>HYPERLINK("https://www.google.com/maps/search/?api=1&amp;query=24.55203435,46.54888884", "View Map")</f>
        <v>View Map</v>
      </c>
    </row>
    <row r="594" spans="1:7" x14ac:dyDescent="0.3">
      <c r="A594" t="s">
        <v>516</v>
      </c>
      <c r="B594" t="s">
        <v>1026</v>
      </c>
      <c r="C594" t="s">
        <v>9</v>
      </c>
      <c r="D594" t="s">
        <v>10</v>
      </c>
      <c r="E594">
        <v>910</v>
      </c>
      <c r="F594" t="b">
        <v>1</v>
      </c>
      <c r="G594" t="str">
        <f>HYPERLINK("https://www.google.com/maps/search/?api=1&amp;query=24.77162154,46.66114227", "View Map")</f>
        <v>View Map</v>
      </c>
    </row>
    <row r="595" spans="1:7" x14ac:dyDescent="0.3">
      <c r="A595" t="s">
        <v>1027</v>
      </c>
      <c r="B595" t="s">
        <v>1028</v>
      </c>
      <c r="C595" t="s">
        <v>9</v>
      </c>
      <c r="D595" t="s">
        <v>154</v>
      </c>
      <c r="E595">
        <v>910</v>
      </c>
      <c r="F595" t="b">
        <v>1</v>
      </c>
      <c r="G595" t="str">
        <f>HYPERLINK("https://www.google.com/maps/search/?api=1&amp;query=24.60170897,46.69501853", "View Map")</f>
        <v>View Map</v>
      </c>
    </row>
    <row r="596" spans="1:7" x14ac:dyDescent="0.3">
      <c r="A596" t="s">
        <v>159</v>
      </c>
      <c r="B596" t="s">
        <v>1029</v>
      </c>
      <c r="C596" t="s">
        <v>9</v>
      </c>
      <c r="D596" t="s">
        <v>10</v>
      </c>
      <c r="E596">
        <v>909</v>
      </c>
      <c r="F596" t="b">
        <v>0</v>
      </c>
      <c r="G596" t="str">
        <f>HYPERLINK("https://www.google.com/maps/search/?api=1&amp;query=24.68186405,46.57806454", "View Map")</f>
        <v>View Map</v>
      </c>
    </row>
    <row r="597" spans="1:7" x14ac:dyDescent="0.3">
      <c r="A597" t="s">
        <v>1030</v>
      </c>
      <c r="B597" t="s">
        <v>1031</v>
      </c>
      <c r="C597" t="s">
        <v>9</v>
      </c>
      <c r="D597" t="s">
        <v>10</v>
      </c>
      <c r="E597">
        <v>908</v>
      </c>
      <c r="F597" t="b">
        <v>1</v>
      </c>
      <c r="G597" t="str">
        <f>HYPERLINK("https://www.google.com/maps/search/?api=1&amp;query=24.69963299,46.80964405", "View Map")</f>
        <v>View Map</v>
      </c>
    </row>
    <row r="598" spans="1:7" x14ac:dyDescent="0.3">
      <c r="A598" t="s">
        <v>27</v>
      </c>
      <c r="B598" t="s">
        <v>1032</v>
      </c>
      <c r="C598" t="s">
        <v>9</v>
      </c>
      <c r="D598" t="s">
        <v>10</v>
      </c>
      <c r="E598">
        <v>907</v>
      </c>
      <c r="F598" t="b">
        <v>1</v>
      </c>
      <c r="G598" t="str">
        <f>HYPERLINK("https://www.google.com/maps/search/?api=1&amp;query=24.79030918,46.58661777", "View Map")</f>
        <v>View Map</v>
      </c>
    </row>
    <row r="599" spans="1:7" x14ac:dyDescent="0.3">
      <c r="A599" t="s">
        <v>367</v>
      </c>
      <c r="B599" t="s">
        <v>1033</v>
      </c>
      <c r="C599" t="s">
        <v>9</v>
      </c>
      <c r="D599" t="s">
        <v>10</v>
      </c>
      <c r="E599">
        <v>907</v>
      </c>
      <c r="F599" t="b">
        <v>0</v>
      </c>
      <c r="G599" t="str">
        <f>HYPERLINK("https://www.google.com/maps/search/?api=1&amp;query=24.74961923,46.70270009", "View Map")</f>
        <v>View Map</v>
      </c>
    </row>
    <row r="600" spans="1:7" x14ac:dyDescent="0.3">
      <c r="A600" t="s">
        <v>27</v>
      </c>
      <c r="B600" t="s">
        <v>1034</v>
      </c>
      <c r="C600" t="s">
        <v>9</v>
      </c>
      <c r="D600" t="s">
        <v>10</v>
      </c>
      <c r="E600">
        <v>906</v>
      </c>
      <c r="F600" t="b">
        <v>1</v>
      </c>
      <c r="G600" t="str">
        <f>HYPERLINK("https://www.google.com/maps/search/?api=1&amp;query=24.83227,46.64166", "View Map")</f>
        <v>View Map</v>
      </c>
    </row>
    <row r="601" spans="1:7" x14ac:dyDescent="0.3">
      <c r="A601" t="s">
        <v>1035</v>
      </c>
      <c r="B601" t="s">
        <v>1036</v>
      </c>
      <c r="C601" t="s">
        <v>9</v>
      </c>
      <c r="D601" t="s">
        <v>154</v>
      </c>
      <c r="E601">
        <v>906</v>
      </c>
      <c r="F601" t="b">
        <v>1</v>
      </c>
      <c r="G601" t="str">
        <f>HYPERLINK("https://www.google.com/maps/search/?api=1&amp;query=24.56885442,46.61709099", "View Map")</f>
        <v>View Map</v>
      </c>
    </row>
    <row r="602" spans="1:7" x14ac:dyDescent="0.3">
      <c r="A602" t="s">
        <v>1037</v>
      </c>
      <c r="B602" t="s">
        <v>1038</v>
      </c>
      <c r="C602" t="s">
        <v>9</v>
      </c>
      <c r="D602" t="s">
        <v>154</v>
      </c>
      <c r="E602">
        <v>906</v>
      </c>
      <c r="F602" t="b">
        <v>1</v>
      </c>
      <c r="G602" t="str">
        <f>HYPERLINK("https://www.google.com/maps/search/?api=1&amp;query=24.57640778,46.59466383", "View Map")</f>
        <v>View Map</v>
      </c>
    </row>
    <row r="603" spans="1:7" x14ac:dyDescent="0.3">
      <c r="A603" t="s">
        <v>159</v>
      </c>
      <c r="B603" t="s">
        <v>1039</v>
      </c>
      <c r="C603" t="s">
        <v>9</v>
      </c>
      <c r="D603" t="s">
        <v>10</v>
      </c>
      <c r="E603">
        <v>906</v>
      </c>
      <c r="F603" t="b">
        <v>1</v>
      </c>
      <c r="G603" t="str">
        <f>HYPERLINK("https://www.google.com/maps/search/?api=1&amp;query=24.51032709,46.67249126", "View Map")</f>
        <v>View Map</v>
      </c>
    </row>
    <row r="604" spans="1:7" x14ac:dyDescent="0.3">
      <c r="A604" t="s">
        <v>194</v>
      </c>
      <c r="B604" t="s">
        <v>1040</v>
      </c>
      <c r="C604" t="s">
        <v>9</v>
      </c>
      <c r="D604" t="s">
        <v>10</v>
      </c>
      <c r="E604">
        <v>906</v>
      </c>
      <c r="F604" t="b">
        <v>1</v>
      </c>
      <c r="G604" t="str">
        <f>HYPERLINK("https://www.google.com/maps/search/?api=1&amp;query=24.77494973,46.785964", "View Map")</f>
        <v>View Map</v>
      </c>
    </row>
    <row r="605" spans="1:7" x14ac:dyDescent="0.3">
      <c r="A605" t="s">
        <v>1041</v>
      </c>
      <c r="B605" t="s">
        <v>1042</v>
      </c>
      <c r="C605" t="s">
        <v>9</v>
      </c>
      <c r="D605" t="s">
        <v>10</v>
      </c>
      <c r="E605">
        <v>905</v>
      </c>
      <c r="F605" t="b">
        <v>1</v>
      </c>
      <c r="G605" t="str">
        <f>HYPERLINK("https://www.google.com/maps/search/?api=1&amp;query=24.59883664,46.68591839", "View Map")</f>
        <v>View Map</v>
      </c>
    </row>
    <row r="606" spans="1:7" x14ac:dyDescent="0.3">
      <c r="A606" t="s">
        <v>1043</v>
      </c>
      <c r="B606" t="s">
        <v>1044</v>
      </c>
      <c r="C606" t="s">
        <v>9</v>
      </c>
      <c r="D606" t="s">
        <v>10</v>
      </c>
      <c r="E606">
        <v>904</v>
      </c>
      <c r="F606" t="b">
        <v>1</v>
      </c>
      <c r="G606" t="str">
        <f>HYPERLINK("https://www.google.com/maps/search/?api=1&amp;query=24.77926497,46.62438618", "View Map")</f>
        <v>View Map</v>
      </c>
    </row>
    <row r="607" spans="1:7" x14ac:dyDescent="0.3">
      <c r="A607" t="s">
        <v>553</v>
      </c>
      <c r="B607" t="s">
        <v>1045</v>
      </c>
      <c r="C607" t="s">
        <v>9</v>
      </c>
      <c r="D607" t="s">
        <v>10</v>
      </c>
      <c r="E607">
        <v>904</v>
      </c>
      <c r="F607" t="b">
        <v>1</v>
      </c>
      <c r="G607" t="str">
        <f>HYPERLINK("https://www.google.com/maps/search/?api=1&amp;query=24.69569309,46.86418031", "View Map")</f>
        <v>View Map</v>
      </c>
    </row>
    <row r="608" spans="1:7" x14ac:dyDescent="0.3">
      <c r="A608" t="s">
        <v>390</v>
      </c>
      <c r="B608" t="s">
        <v>1046</v>
      </c>
      <c r="C608" t="s">
        <v>9</v>
      </c>
      <c r="D608" t="s">
        <v>10</v>
      </c>
      <c r="E608">
        <v>902</v>
      </c>
      <c r="F608" t="b">
        <v>1</v>
      </c>
      <c r="G608" t="str">
        <f>HYPERLINK("https://www.google.com/maps/search/?api=1&amp;query=24.62043141,46.53928568", "View Map")</f>
        <v>View Map</v>
      </c>
    </row>
    <row r="609" spans="1:7" x14ac:dyDescent="0.3">
      <c r="A609" t="s">
        <v>159</v>
      </c>
      <c r="B609" t="s">
        <v>1047</v>
      </c>
      <c r="C609" t="s">
        <v>9</v>
      </c>
      <c r="D609" t="s">
        <v>154</v>
      </c>
      <c r="E609">
        <v>902</v>
      </c>
      <c r="F609" t="b">
        <v>1</v>
      </c>
      <c r="G609" t="str">
        <f>HYPERLINK("https://www.google.com/maps/search/?api=1&amp;query=24.5575,46.625", "View Map")</f>
        <v>View Map</v>
      </c>
    </row>
    <row r="610" spans="1:7" x14ac:dyDescent="0.3">
      <c r="A610" t="s">
        <v>19</v>
      </c>
      <c r="B610" t="s">
        <v>1048</v>
      </c>
      <c r="C610" t="s">
        <v>9</v>
      </c>
      <c r="D610" t="s">
        <v>10</v>
      </c>
      <c r="E610">
        <v>901</v>
      </c>
      <c r="F610" t="b">
        <v>1</v>
      </c>
      <c r="G610" t="str">
        <f>HYPERLINK("https://www.google.com/maps/search/?api=1&amp;query=24.74195971,46.7134947", "View Map")</f>
        <v>View Map</v>
      </c>
    </row>
    <row r="611" spans="1:7" x14ac:dyDescent="0.3">
      <c r="A611" t="s">
        <v>1049</v>
      </c>
      <c r="B611" t="s">
        <v>1050</v>
      </c>
      <c r="C611" t="s">
        <v>9</v>
      </c>
      <c r="D611" t="s">
        <v>10</v>
      </c>
      <c r="E611">
        <v>900</v>
      </c>
      <c r="F611" t="b">
        <v>1</v>
      </c>
      <c r="G611" t="str">
        <f>HYPERLINK("https://www.google.com/maps/search/?api=1&amp;query=24.78285317,46.63830256", "View Map")</f>
        <v>View Map</v>
      </c>
    </row>
    <row r="612" spans="1:7" x14ac:dyDescent="0.3">
      <c r="A612" t="s">
        <v>194</v>
      </c>
      <c r="B612" t="s">
        <v>1051</v>
      </c>
      <c r="C612" t="s">
        <v>9</v>
      </c>
      <c r="D612" t="s">
        <v>154</v>
      </c>
      <c r="E612">
        <v>898</v>
      </c>
      <c r="F612" t="b">
        <v>1</v>
      </c>
      <c r="G612" t="str">
        <f>HYPERLINK("https://www.google.com/maps/search/?api=1&amp;query=24.70789208,46.83324805", "View Map")</f>
        <v>View Map</v>
      </c>
    </row>
    <row r="613" spans="1:7" x14ac:dyDescent="0.3">
      <c r="A613" t="s">
        <v>1052</v>
      </c>
      <c r="B613" t="s">
        <v>1053</v>
      </c>
      <c r="C613" t="s">
        <v>9</v>
      </c>
      <c r="D613" t="s">
        <v>10</v>
      </c>
      <c r="E613">
        <v>897</v>
      </c>
      <c r="F613" t="b">
        <v>0</v>
      </c>
      <c r="G613" t="str">
        <f>HYPERLINK("https://www.google.com/maps/search/?api=1&amp;query=24.76011026,46.73411931", "View Map")</f>
        <v>View Map</v>
      </c>
    </row>
    <row r="614" spans="1:7" x14ac:dyDescent="0.3">
      <c r="A614" t="s">
        <v>1054</v>
      </c>
      <c r="B614" t="s">
        <v>1055</v>
      </c>
      <c r="C614" t="s">
        <v>9</v>
      </c>
      <c r="D614" t="s">
        <v>154</v>
      </c>
      <c r="E614">
        <v>897</v>
      </c>
      <c r="F614" t="b">
        <v>1</v>
      </c>
      <c r="G614" t="str">
        <f>HYPERLINK("https://www.google.com/maps/search/?api=1&amp;query=24.62540948,46.70816725", "View Map")</f>
        <v>View Map</v>
      </c>
    </row>
    <row r="615" spans="1:7" x14ac:dyDescent="0.3">
      <c r="A615" t="s">
        <v>19</v>
      </c>
      <c r="B615" t="s">
        <v>1056</v>
      </c>
      <c r="C615" t="s">
        <v>9</v>
      </c>
      <c r="D615" t="s">
        <v>10</v>
      </c>
      <c r="E615">
        <v>896</v>
      </c>
      <c r="F615" t="b">
        <v>1</v>
      </c>
      <c r="G615" t="str">
        <f>HYPERLINK("https://www.google.com/maps/search/?api=1&amp;query=24.61656146,46.50009838", "View Map")</f>
        <v>View Map</v>
      </c>
    </row>
    <row r="616" spans="1:7" x14ac:dyDescent="0.3">
      <c r="A616" t="s">
        <v>19</v>
      </c>
      <c r="B616" t="s">
        <v>1057</v>
      </c>
      <c r="C616" t="s">
        <v>9</v>
      </c>
      <c r="D616" t="s">
        <v>10</v>
      </c>
      <c r="E616">
        <v>895</v>
      </c>
      <c r="F616" t="b">
        <v>1</v>
      </c>
      <c r="G616" t="str">
        <f>HYPERLINK("https://www.google.com/maps/search/?api=1&amp;query=24.85592841,46.63178187", "View Map")</f>
        <v>View Map</v>
      </c>
    </row>
    <row r="617" spans="1:7" x14ac:dyDescent="0.3">
      <c r="A617" t="s">
        <v>1058</v>
      </c>
      <c r="B617" t="s">
        <v>1059</v>
      </c>
      <c r="C617" t="s">
        <v>9</v>
      </c>
      <c r="D617" t="s">
        <v>10</v>
      </c>
      <c r="E617">
        <v>893</v>
      </c>
      <c r="F617" t="b">
        <v>1</v>
      </c>
      <c r="G617" t="str">
        <f>HYPERLINK("https://www.google.com/maps/search/?api=1&amp;query=24.78142229,46.71765395", "View Map")</f>
        <v>View Map</v>
      </c>
    </row>
    <row r="618" spans="1:7" x14ac:dyDescent="0.3">
      <c r="A618" t="s">
        <v>1060</v>
      </c>
      <c r="B618" t="s">
        <v>1061</v>
      </c>
      <c r="C618" t="s">
        <v>9</v>
      </c>
      <c r="D618" t="s">
        <v>10</v>
      </c>
      <c r="E618">
        <v>892</v>
      </c>
      <c r="F618" t="b">
        <v>1</v>
      </c>
      <c r="G618" t="str">
        <f>HYPERLINK("https://www.google.com/maps/search/?api=1&amp;query=24.7573069,46.76949974", "View Map")</f>
        <v>View Map</v>
      </c>
    </row>
    <row r="619" spans="1:7" x14ac:dyDescent="0.3">
      <c r="A619" t="s">
        <v>1062</v>
      </c>
      <c r="B619" t="s">
        <v>1063</v>
      </c>
      <c r="C619" t="s">
        <v>9</v>
      </c>
      <c r="D619" t="s">
        <v>10</v>
      </c>
      <c r="E619">
        <v>890</v>
      </c>
      <c r="F619" t="b">
        <v>1</v>
      </c>
      <c r="G619" t="str">
        <f>HYPERLINK("https://www.google.com/maps/search/?api=1&amp;query=24.5950431,46.5771202", "View Map")</f>
        <v>View Map</v>
      </c>
    </row>
    <row r="620" spans="1:7" x14ac:dyDescent="0.3">
      <c r="A620" t="s">
        <v>1064</v>
      </c>
      <c r="B620" t="s">
        <v>1065</v>
      </c>
      <c r="C620" t="s">
        <v>9</v>
      </c>
      <c r="D620" t="s">
        <v>10</v>
      </c>
      <c r="E620">
        <v>889</v>
      </c>
      <c r="F620" t="b">
        <v>1</v>
      </c>
      <c r="G620" t="str">
        <f>HYPERLINK("https://www.google.com/maps/search/?api=1&amp;query=24.74494592,46.83091449", "View Map")</f>
        <v>View Map</v>
      </c>
    </row>
    <row r="621" spans="1:7" x14ac:dyDescent="0.3">
      <c r="A621" t="s">
        <v>1066</v>
      </c>
      <c r="B621" t="s">
        <v>1067</v>
      </c>
      <c r="C621" t="s">
        <v>9</v>
      </c>
      <c r="D621" t="s">
        <v>10</v>
      </c>
      <c r="E621">
        <v>888</v>
      </c>
      <c r="F621" t="b">
        <v>1</v>
      </c>
      <c r="G621" t="str">
        <f>HYPERLINK("https://www.google.com/maps/search/?api=1&amp;query=24.74676686,46.77699915", "View Map")</f>
        <v>View Map</v>
      </c>
    </row>
    <row r="622" spans="1:7" x14ac:dyDescent="0.3">
      <c r="A622" t="s">
        <v>27</v>
      </c>
      <c r="B622" t="s">
        <v>1068</v>
      </c>
      <c r="C622" t="s">
        <v>9</v>
      </c>
      <c r="D622" t="s">
        <v>10</v>
      </c>
      <c r="E622">
        <v>888</v>
      </c>
      <c r="F622" t="b">
        <v>1</v>
      </c>
      <c r="G622" t="str">
        <f>HYPERLINK("https://www.google.com/maps/search/?api=1&amp;query=24.92525789,46.82341566", "View Map")</f>
        <v>View Map</v>
      </c>
    </row>
    <row r="623" spans="1:7" x14ac:dyDescent="0.3">
      <c r="A623" t="s">
        <v>1069</v>
      </c>
      <c r="B623" t="s">
        <v>1070</v>
      </c>
      <c r="C623" t="s">
        <v>9</v>
      </c>
      <c r="D623" t="s">
        <v>154</v>
      </c>
      <c r="E623">
        <v>887</v>
      </c>
      <c r="F623" t="b">
        <v>1</v>
      </c>
      <c r="G623" t="str">
        <f>HYPERLINK("https://www.google.com/maps/search/?api=1&amp;query=24.79991039,46.74318327", "View Map")</f>
        <v>View Map</v>
      </c>
    </row>
    <row r="624" spans="1:7" x14ac:dyDescent="0.3">
      <c r="A624" t="s">
        <v>1071</v>
      </c>
      <c r="B624" t="s">
        <v>1072</v>
      </c>
      <c r="C624" t="s">
        <v>9</v>
      </c>
      <c r="D624" t="s">
        <v>154</v>
      </c>
      <c r="E624">
        <v>886</v>
      </c>
      <c r="F624" t="b">
        <v>1</v>
      </c>
      <c r="G624" t="str">
        <f>HYPERLINK("https://www.google.com/maps/search/?api=1&amp;query=24.5376302,46.64505804", "View Map")</f>
        <v>View Map</v>
      </c>
    </row>
    <row r="625" spans="1:7" x14ac:dyDescent="0.3">
      <c r="A625" t="s">
        <v>1073</v>
      </c>
      <c r="B625" t="s">
        <v>1074</v>
      </c>
      <c r="C625" t="s">
        <v>9</v>
      </c>
      <c r="D625" t="s">
        <v>10</v>
      </c>
      <c r="E625">
        <v>886</v>
      </c>
      <c r="F625" t="b">
        <v>1</v>
      </c>
      <c r="G625" t="str">
        <f>HYPERLINK("https://www.google.com/maps/search/?api=1&amp;query=24.56863421,46.80182417", "View Map")</f>
        <v>View Map</v>
      </c>
    </row>
    <row r="626" spans="1:7" x14ac:dyDescent="0.3">
      <c r="A626" t="s">
        <v>765</v>
      </c>
      <c r="B626" t="s">
        <v>1075</v>
      </c>
      <c r="C626" t="s">
        <v>9</v>
      </c>
      <c r="D626" t="s">
        <v>10</v>
      </c>
      <c r="E626">
        <v>886</v>
      </c>
      <c r="F626" t="b">
        <v>1</v>
      </c>
      <c r="G626" t="str">
        <f>HYPERLINK("https://www.google.com/maps/search/?api=1&amp;query=24.66000596,46.72130472", "View Map")</f>
        <v>View Map</v>
      </c>
    </row>
    <row r="627" spans="1:7" x14ac:dyDescent="0.3">
      <c r="A627" t="s">
        <v>1076</v>
      </c>
      <c r="B627" t="s">
        <v>1077</v>
      </c>
      <c r="C627" t="s">
        <v>72</v>
      </c>
      <c r="D627" t="s">
        <v>10</v>
      </c>
      <c r="E627">
        <v>885</v>
      </c>
      <c r="F627" t="b">
        <v>0</v>
      </c>
      <c r="G627" t="str">
        <f>HYPERLINK("https://www.google.com/maps/search/?api=1&amp;query=24.9016639,46.41015599", "View Map")</f>
        <v>View Map</v>
      </c>
    </row>
    <row r="628" spans="1:7" x14ac:dyDescent="0.3">
      <c r="A628" t="s">
        <v>1078</v>
      </c>
      <c r="B628" t="s">
        <v>1079</v>
      </c>
      <c r="C628" t="s">
        <v>9</v>
      </c>
      <c r="D628" t="s">
        <v>10</v>
      </c>
      <c r="E628">
        <v>885</v>
      </c>
      <c r="F628" t="b">
        <v>1</v>
      </c>
      <c r="G628" t="str">
        <f>HYPERLINK("https://www.google.com/maps/search/?api=1&amp;query=24.58993157,46.65970334", "View Map")</f>
        <v>View Map</v>
      </c>
    </row>
    <row r="629" spans="1:7" x14ac:dyDescent="0.3">
      <c r="A629" t="s">
        <v>1080</v>
      </c>
      <c r="B629" t="s">
        <v>1081</v>
      </c>
      <c r="C629" t="s">
        <v>9</v>
      </c>
      <c r="D629" t="s">
        <v>10</v>
      </c>
      <c r="E629">
        <v>881</v>
      </c>
      <c r="F629" t="b">
        <v>1</v>
      </c>
      <c r="G629" t="str">
        <f>HYPERLINK("https://www.google.com/maps/search/?api=1&amp;query=24.64598,46.70929", "View Map")</f>
        <v>View Map</v>
      </c>
    </row>
    <row r="630" spans="1:7" x14ac:dyDescent="0.3">
      <c r="A630" t="s">
        <v>1082</v>
      </c>
      <c r="B630" t="s">
        <v>1083</v>
      </c>
      <c r="C630" t="s">
        <v>9</v>
      </c>
      <c r="D630" t="s">
        <v>10</v>
      </c>
      <c r="E630">
        <v>880</v>
      </c>
      <c r="F630" t="b">
        <v>1</v>
      </c>
      <c r="G630" t="str">
        <f>HYPERLINK("https://www.google.com/maps/search/?api=1&amp;query=24.68401806,46.67712572", "View Map")</f>
        <v>View Map</v>
      </c>
    </row>
    <row r="631" spans="1:7" x14ac:dyDescent="0.3">
      <c r="A631" t="s">
        <v>1084</v>
      </c>
      <c r="B631" t="s">
        <v>1085</v>
      </c>
      <c r="C631" t="s">
        <v>9</v>
      </c>
      <c r="D631" t="s">
        <v>10</v>
      </c>
      <c r="E631">
        <v>880</v>
      </c>
      <c r="F631" t="b">
        <v>1</v>
      </c>
      <c r="G631" t="str">
        <f>HYPERLINK("https://www.google.com/maps/search/?api=1&amp;query=24.68549506,46.82876099", "View Map")</f>
        <v>View Map</v>
      </c>
    </row>
    <row r="632" spans="1:7" x14ac:dyDescent="0.3">
      <c r="A632" t="s">
        <v>27</v>
      </c>
      <c r="B632" t="s">
        <v>1086</v>
      </c>
      <c r="C632" t="s">
        <v>9</v>
      </c>
      <c r="D632" t="s">
        <v>10</v>
      </c>
      <c r="E632">
        <v>878</v>
      </c>
      <c r="F632" t="b">
        <v>1</v>
      </c>
      <c r="G632" t="str">
        <f>HYPERLINK("https://www.google.com/maps/search/?api=1&amp;query=24.864137,46.625524", "View Map")</f>
        <v>View Map</v>
      </c>
    </row>
    <row r="633" spans="1:7" x14ac:dyDescent="0.3">
      <c r="A633" t="s">
        <v>1087</v>
      </c>
      <c r="B633" t="s">
        <v>1088</v>
      </c>
      <c r="C633" t="s">
        <v>9</v>
      </c>
      <c r="D633" t="s">
        <v>10</v>
      </c>
      <c r="E633">
        <v>878</v>
      </c>
      <c r="F633" t="b">
        <v>1</v>
      </c>
      <c r="G633" t="str">
        <f>HYPERLINK("https://www.google.com/maps/search/?api=1&amp;query=24.60464948,46.63196645", "View Map")</f>
        <v>View Map</v>
      </c>
    </row>
    <row r="634" spans="1:7" x14ac:dyDescent="0.3">
      <c r="A634" t="s">
        <v>1089</v>
      </c>
      <c r="B634" t="s">
        <v>1090</v>
      </c>
      <c r="C634" t="s">
        <v>9</v>
      </c>
      <c r="D634" t="s">
        <v>10</v>
      </c>
      <c r="E634">
        <v>878</v>
      </c>
      <c r="F634" t="b">
        <v>1</v>
      </c>
      <c r="G634" t="str">
        <f>HYPERLINK("https://www.google.com/maps/search/?api=1&amp;query=24.67134361,46.71365382", "View Map")</f>
        <v>View Map</v>
      </c>
    </row>
    <row r="635" spans="1:7" x14ac:dyDescent="0.3">
      <c r="A635" t="s">
        <v>1091</v>
      </c>
      <c r="B635" t="s">
        <v>1092</v>
      </c>
      <c r="C635" t="s">
        <v>9</v>
      </c>
      <c r="D635" t="s">
        <v>10</v>
      </c>
      <c r="E635">
        <v>877</v>
      </c>
      <c r="F635" t="b">
        <v>1</v>
      </c>
      <c r="G635" t="str">
        <f>HYPERLINK("https://www.google.com/maps/search/?api=1&amp;query=24.62069505,46.76202884", "View Map")</f>
        <v>View Map</v>
      </c>
    </row>
    <row r="636" spans="1:7" x14ac:dyDescent="0.3">
      <c r="A636" t="s">
        <v>27</v>
      </c>
      <c r="B636" t="s">
        <v>1093</v>
      </c>
      <c r="C636" t="s">
        <v>72</v>
      </c>
      <c r="D636" t="s">
        <v>10</v>
      </c>
      <c r="E636">
        <v>876</v>
      </c>
      <c r="F636" t="b">
        <v>1</v>
      </c>
      <c r="G636" t="str">
        <f>HYPERLINK("https://www.google.com/maps/search/?api=1&amp;query=24.82563064,46.56039825", "View Map")</f>
        <v>View Map</v>
      </c>
    </row>
    <row r="637" spans="1:7" x14ac:dyDescent="0.3">
      <c r="A637" t="s">
        <v>341</v>
      </c>
      <c r="B637" t="s">
        <v>1094</v>
      </c>
      <c r="C637" t="s">
        <v>9</v>
      </c>
      <c r="D637" t="s">
        <v>10</v>
      </c>
      <c r="E637">
        <v>874</v>
      </c>
      <c r="F637" t="b">
        <v>1</v>
      </c>
      <c r="G637" t="str">
        <f>HYPERLINK("https://www.google.com/maps/search/?api=1&amp;query=24.70732799,46.77285643", "View Map")</f>
        <v>View Map</v>
      </c>
    </row>
    <row r="638" spans="1:7" x14ac:dyDescent="0.3">
      <c r="A638" t="s">
        <v>194</v>
      </c>
      <c r="B638" t="s">
        <v>1095</v>
      </c>
      <c r="C638" t="s">
        <v>9</v>
      </c>
      <c r="D638" t="s">
        <v>10</v>
      </c>
      <c r="E638">
        <v>872</v>
      </c>
      <c r="F638" t="b">
        <v>1</v>
      </c>
      <c r="G638" t="str">
        <f>HYPERLINK("https://www.google.com/maps/search/?api=1&amp;query=24.8235384,46.83610754", "View Map")</f>
        <v>View Map</v>
      </c>
    </row>
    <row r="639" spans="1:7" x14ac:dyDescent="0.3">
      <c r="A639" t="s">
        <v>1096</v>
      </c>
      <c r="B639" t="s">
        <v>1097</v>
      </c>
      <c r="C639" t="s">
        <v>9</v>
      </c>
      <c r="D639" t="s">
        <v>10</v>
      </c>
      <c r="E639">
        <v>871</v>
      </c>
      <c r="F639" t="b">
        <v>1</v>
      </c>
      <c r="G639" t="str">
        <f>HYPERLINK("https://www.google.com/maps/search/?api=1&amp;query=24.73579043,46.85265709", "View Map")</f>
        <v>View Map</v>
      </c>
    </row>
    <row r="640" spans="1:7" x14ac:dyDescent="0.3">
      <c r="A640" t="s">
        <v>1098</v>
      </c>
      <c r="B640" t="s">
        <v>1099</v>
      </c>
      <c r="C640" t="s">
        <v>9</v>
      </c>
      <c r="D640" t="s">
        <v>10</v>
      </c>
      <c r="E640">
        <v>871</v>
      </c>
      <c r="F640" t="b">
        <v>1</v>
      </c>
      <c r="G640" t="str">
        <f>HYPERLINK("https://www.google.com/maps/search/?api=1&amp;query=24.72266972,46.82456923", "View Map")</f>
        <v>View Map</v>
      </c>
    </row>
    <row r="641" spans="1:7" x14ac:dyDescent="0.3">
      <c r="A641" t="s">
        <v>1100</v>
      </c>
      <c r="B641" t="s">
        <v>1101</v>
      </c>
      <c r="C641" t="s">
        <v>9</v>
      </c>
      <c r="D641" t="s">
        <v>10</v>
      </c>
      <c r="E641">
        <v>871</v>
      </c>
      <c r="F641" t="b">
        <v>1</v>
      </c>
      <c r="G641" t="str">
        <f>HYPERLINK("https://www.google.com/maps/search/?api=1&amp;query=24.6269,46.6867", "View Map")</f>
        <v>View Map</v>
      </c>
    </row>
    <row r="642" spans="1:7" x14ac:dyDescent="0.3">
      <c r="A642" t="s">
        <v>27</v>
      </c>
      <c r="B642" t="s">
        <v>1102</v>
      </c>
      <c r="C642" t="s">
        <v>9</v>
      </c>
      <c r="D642" t="s">
        <v>10</v>
      </c>
      <c r="E642">
        <v>870</v>
      </c>
      <c r="F642" t="b">
        <v>1</v>
      </c>
      <c r="G642" t="str">
        <f>HYPERLINK("https://www.google.com/maps/search/?api=1&amp;query=24.62517551,46.53833924", "View Map")</f>
        <v>View Map</v>
      </c>
    </row>
    <row r="643" spans="1:7" x14ac:dyDescent="0.3">
      <c r="A643" t="s">
        <v>1103</v>
      </c>
      <c r="B643" t="s">
        <v>1104</v>
      </c>
      <c r="C643" t="s">
        <v>9</v>
      </c>
      <c r="D643" t="s">
        <v>10</v>
      </c>
      <c r="E643">
        <v>869</v>
      </c>
      <c r="F643" t="b">
        <v>1</v>
      </c>
      <c r="G643" t="str">
        <f>HYPERLINK("https://www.google.com/maps/search/?api=1&amp;query=24.673575,46.88101881", "View Map")</f>
        <v>View Map</v>
      </c>
    </row>
    <row r="644" spans="1:7" x14ac:dyDescent="0.3">
      <c r="A644" t="s">
        <v>1105</v>
      </c>
      <c r="B644" t="s">
        <v>1106</v>
      </c>
      <c r="C644" t="s">
        <v>9</v>
      </c>
      <c r="D644" t="s">
        <v>154</v>
      </c>
      <c r="E644">
        <v>869</v>
      </c>
      <c r="F644" t="b">
        <v>1</v>
      </c>
      <c r="G644" t="str">
        <f>HYPERLINK("https://www.google.com/maps/search/?api=1&amp;query=24.68310064,46.77263798", "View Map")</f>
        <v>View Map</v>
      </c>
    </row>
    <row r="645" spans="1:7" x14ac:dyDescent="0.3">
      <c r="A645" t="s">
        <v>1107</v>
      </c>
      <c r="B645" t="s">
        <v>1108</v>
      </c>
      <c r="C645" t="s">
        <v>9</v>
      </c>
      <c r="D645" t="s">
        <v>10</v>
      </c>
      <c r="E645">
        <v>867</v>
      </c>
      <c r="F645" t="b">
        <v>0</v>
      </c>
      <c r="G645" t="str">
        <f>HYPERLINK("https://www.google.com/maps/search/?api=1&amp;query=24.59283752,46.64587898", "View Map")</f>
        <v>View Map</v>
      </c>
    </row>
    <row r="646" spans="1:7" x14ac:dyDescent="0.3">
      <c r="A646" t="s">
        <v>1109</v>
      </c>
      <c r="B646" t="s">
        <v>1110</v>
      </c>
      <c r="C646" t="s">
        <v>72</v>
      </c>
      <c r="D646" t="s">
        <v>10</v>
      </c>
      <c r="E646">
        <v>867</v>
      </c>
      <c r="F646" t="b">
        <v>0</v>
      </c>
      <c r="G646" t="str">
        <f>HYPERLINK("https://www.google.com/maps/search/?api=1&amp;query=24.75295858,46.56890016", "View Map")</f>
        <v>View Map</v>
      </c>
    </row>
    <row r="647" spans="1:7" x14ac:dyDescent="0.3">
      <c r="A647" t="s">
        <v>1111</v>
      </c>
      <c r="B647" t="s">
        <v>1112</v>
      </c>
      <c r="C647" t="s">
        <v>9</v>
      </c>
      <c r="D647" t="s">
        <v>10</v>
      </c>
      <c r="E647">
        <v>865</v>
      </c>
      <c r="F647" t="b">
        <v>1</v>
      </c>
      <c r="G647" t="str">
        <f>HYPERLINK("https://www.google.com/maps/search/?api=1&amp;query=24.59689984,46.72986151", "View Map")</f>
        <v>View Map</v>
      </c>
    </row>
    <row r="648" spans="1:7" x14ac:dyDescent="0.3">
      <c r="A648" t="s">
        <v>1113</v>
      </c>
      <c r="B648" t="s">
        <v>1114</v>
      </c>
      <c r="C648" t="s">
        <v>9</v>
      </c>
      <c r="D648" t="s">
        <v>10</v>
      </c>
      <c r="E648">
        <v>865</v>
      </c>
      <c r="F648" t="b">
        <v>1</v>
      </c>
      <c r="G648" t="str">
        <f>HYPERLINK("https://www.google.com/maps/search/?api=1&amp;query=24.8063862,46.65123976", "View Map")</f>
        <v>View Map</v>
      </c>
    </row>
    <row r="649" spans="1:7" x14ac:dyDescent="0.3">
      <c r="A649" t="s">
        <v>1115</v>
      </c>
      <c r="B649" t="s">
        <v>1116</v>
      </c>
      <c r="C649" t="s">
        <v>9</v>
      </c>
      <c r="D649" t="s">
        <v>10</v>
      </c>
      <c r="E649">
        <v>864</v>
      </c>
      <c r="F649" t="b">
        <v>1</v>
      </c>
      <c r="G649" t="str">
        <f>HYPERLINK("https://www.google.com/maps/search/?api=1&amp;query=24.58436535,46.76394362", "View Map")</f>
        <v>View Map</v>
      </c>
    </row>
    <row r="650" spans="1:7" x14ac:dyDescent="0.3">
      <c r="A650" t="s">
        <v>1117</v>
      </c>
      <c r="B650" t="s">
        <v>1118</v>
      </c>
      <c r="C650" t="s">
        <v>9</v>
      </c>
      <c r="D650" t="s">
        <v>10</v>
      </c>
      <c r="E650">
        <v>864</v>
      </c>
      <c r="F650" t="b">
        <v>1</v>
      </c>
      <c r="G650" t="str">
        <f>HYPERLINK("https://www.google.com/maps/search/?api=1&amp;query=24.73645164,46.64181861", "View Map")</f>
        <v>View Map</v>
      </c>
    </row>
    <row r="651" spans="1:7" x14ac:dyDescent="0.3">
      <c r="A651" t="s">
        <v>229</v>
      </c>
      <c r="B651" t="s">
        <v>1119</v>
      </c>
      <c r="C651" t="s">
        <v>9</v>
      </c>
      <c r="D651" t="s">
        <v>10</v>
      </c>
      <c r="E651">
        <v>861</v>
      </c>
      <c r="F651" t="b">
        <v>1</v>
      </c>
      <c r="G651" t="str">
        <f>HYPERLINK("https://www.google.com/maps/search/?api=1&amp;query=24.75402241,46.8084702", "View Map")</f>
        <v>View Map</v>
      </c>
    </row>
    <row r="652" spans="1:7" x14ac:dyDescent="0.3">
      <c r="A652" t="s">
        <v>1120</v>
      </c>
      <c r="B652" t="s">
        <v>1121</v>
      </c>
      <c r="C652" t="s">
        <v>9</v>
      </c>
      <c r="D652" t="s">
        <v>10</v>
      </c>
      <c r="E652">
        <v>859</v>
      </c>
      <c r="F652" t="b">
        <v>1</v>
      </c>
      <c r="G652" t="str">
        <f>HYPERLINK("https://www.google.com/maps/search/?api=1&amp;query=24.58419747,46.78672538", "View Map")</f>
        <v>View Map</v>
      </c>
    </row>
    <row r="653" spans="1:7" x14ac:dyDescent="0.3">
      <c r="A653" t="s">
        <v>1122</v>
      </c>
      <c r="B653" t="s">
        <v>1123</v>
      </c>
      <c r="C653" t="s">
        <v>72</v>
      </c>
      <c r="D653" t="s">
        <v>10</v>
      </c>
      <c r="E653">
        <v>858</v>
      </c>
      <c r="F653" t="b">
        <v>1</v>
      </c>
      <c r="G653" t="str">
        <f>HYPERLINK("https://www.google.com/maps/search/?api=1&amp;query=24.7567641,46.5746134", "View Map")</f>
        <v>View Map</v>
      </c>
    </row>
    <row r="654" spans="1:7" x14ac:dyDescent="0.3">
      <c r="A654" t="s">
        <v>1124</v>
      </c>
      <c r="B654" t="s">
        <v>1125</v>
      </c>
      <c r="C654" t="s">
        <v>9</v>
      </c>
      <c r="D654" t="s">
        <v>10</v>
      </c>
      <c r="E654">
        <v>858</v>
      </c>
      <c r="F654" t="b">
        <v>1</v>
      </c>
      <c r="G654" t="str">
        <f>HYPERLINK("https://www.google.com/maps/search/?api=1&amp;query=24.72321569,46.68044048", "View Map")</f>
        <v>View Map</v>
      </c>
    </row>
    <row r="655" spans="1:7" x14ac:dyDescent="0.3">
      <c r="A655" t="s">
        <v>1126</v>
      </c>
      <c r="B655" t="s">
        <v>1127</v>
      </c>
      <c r="C655" t="s">
        <v>9</v>
      </c>
      <c r="D655" t="s">
        <v>10</v>
      </c>
      <c r="E655">
        <v>857</v>
      </c>
      <c r="F655" t="b">
        <v>1</v>
      </c>
      <c r="G655" t="str">
        <f>HYPERLINK("https://www.google.com/maps/search/?api=1&amp;query=24.73394748,46.76699091", "View Map")</f>
        <v>View Map</v>
      </c>
    </row>
    <row r="656" spans="1:7" x14ac:dyDescent="0.3">
      <c r="A656" t="s">
        <v>1128</v>
      </c>
      <c r="B656" t="s">
        <v>1129</v>
      </c>
      <c r="C656" t="s">
        <v>9</v>
      </c>
      <c r="D656" t="s">
        <v>10</v>
      </c>
      <c r="E656">
        <v>857</v>
      </c>
      <c r="F656" t="b">
        <v>1</v>
      </c>
      <c r="G656" t="str">
        <f>HYPERLINK("https://www.google.com/maps/search/?api=1&amp;query=24.73137056,46.85275576", "View Map")</f>
        <v>View Map</v>
      </c>
    </row>
    <row r="657" spans="1:7" x14ac:dyDescent="0.3">
      <c r="A657" t="s">
        <v>27</v>
      </c>
      <c r="B657" t="s">
        <v>1130</v>
      </c>
      <c r="C657" t="s">
        <v>9</v>
      </c>
      <c r="D657" t="s">
        <v>10</v>
      </c>
      <c r="E657">
        <v>855</v>
      </c>
      <c r="F657" t="b">
        <v>1</v>
      </c>
      <c r="G657" t="str">
        <f>HYPERLINK("https://www.google.com/maps/search/?api=1&amp;query=24.83664801,46.66750039", "View Map")</f>
        <v>View Map</v>
      </c>
    </row>
    <row r="658" spans="1:7" x14ac:dyDescent="0.3">
      <c r="A658" t="s">
        <v>159</v>
      </c>
      <c r="B658" t="s">
        <v>1131</v>
      </c>
      <c r="C658" t="s">
        <v>9</v>
      </c>
      <c r="D658" t="s">
        <v>10</v>
      </c>
      <c r="E658">
        <v>854</v>
      </c>
      <c r="F658" t="b">
        <v>1</v>
      </c>
      <c r="G658" t="str">
        <f>HYPERLINK("https://www.google.com/maps/search/?api=1&amp;query=24.55537117,46.56147134", "View Map")</f>
        <v>View Map</v>
      </c>
    </row>
    <row r="659" spans="1:7" x14ac:dyDescent="0.3">
      <c r="A659" t="s">
        <v>1132</v>
      </c>
      <c r="B659" t="s">
        <v>1133</v>
      </c>
      <c r="C659" t="s">
        <v>9</v>
      </c>
      <c r="D659" t="s">
        <v>10</v>
      </c>
      <c r="E659">
        <v>854</v>
      </c>
      <c r="F659" t="b">
        <v>1</v>
      </c>
      <c r="G659" t="str">
        <f>HYPERLINK("https://www.google.com/maps/search/?api=1&amp;query=24.73033882,46.65855522", "View Map")</f>
        <v>View Map</v>
      </c>
    </row>
    <row r="660" spans="1:7" x14ac:dyDescent="0.3">
      <c r="A660" t="s">
        <v>27</v>
      </c>
      <c r="B660" t="s">
        <v>1134</v>
      </c>
      <c r="C660" t="s">
        <v>9</v>
      </c>
      <c r="D660" t="s">
        <v>10</v>
      </c>
      <c r="E660">
        <v>853</v>
      </c>
      <c r="F660" t="b">
        <v>1</v>
      </c>
      <c r="G660" t="str">
        <f>HYPERLINK("https://www.google.com/maps/search/?api=1&amp;query=24.82558304,46.65672149", "View Map")</f>
        <v>View Map</v>
      </c>
    </row>
    <row r="661" spans="1:7" x14ac:dyDescent="0.3">
      <c r="A661" t="s">
        <v>1135</v>
      </c>
      <c r="B661" t="s">
        <v>1136</v>
      </c>
      <c r="C661" t="s">
        <v>9</v>
      </c>
      <c r="D661" t="s">
        <v>10</v>
      </c>
      <c r="E661">
        <v>852</v>
      </c>
      <c r="F661" t="b">
        <v>1</v>
      </c>
      <c r="G661" t="str">
        <f>HYPERLINK("https://www.google.com/maps/search/?api=1&amp;query=24.61602621,46.73136835", "View Map")</f>
        <v>View Map</v>
      </c>
    </row>
    <row r="662" spans="1:7" x14ac:dyDescent="0.3">
      <c r="A662" t="s">
        <v>19</v>
      </c>
      <c r="B662" t="s">
        <v>1137</v>
      </c>
      <c r="C662" t="s">
        <v>9</v>
      </c>
      <c r="D662" t="s">
        <v>10</v>
      </c>
      <c r="E662">
        <v>851</v>
      </c>
      <c r="F662" t="b">
        <v>1</v>
      </c>
      <c r="G662" t="str">
        <f>HYPERLINK("https://www.google.com/maps/search/?api=1&amp;query=24.6636443,46.74780097", "View Map")</f>
        <v>View Map</v>
      </c>
    </row>
    <row r="663" spans="1:7" x14ac:dyDescent="0.3">
      <c r="A663" t="s">
        <v>1138</v>
      </c>
      <c r="B663" t="s">
        <v>1139</v>
      </c>
      <c r="C663" t="s">
        <v>9</v>
      </c>
      <c r="D663" t="s">
        <v>10</v>
      </c>
      <c r="E663">
        <v>851</v>
      </c>
      <c r="F663" t="b">
        <v>1</v>
      </c>
      <c r="G663" t="str">
        <f>HYPERLINK("https://www.google.com/maps/search/?api=1&amp;query=24.70343706,46.84071593", "View Map")</f>
        <v>View Map</v>
      </c>
    </row>
    <row r="664" spans="1:7" x14ac:dyDescent="0.3">
      <c r="A664" t="s">
        <v>1140</v>
      </c>
      <c r="B664" t="s">
        <v>1141</v>
      </c>
      <c r="C664" t="s">
        <v>9</v>
      </c>
      <c r="D664" t="s">
        <v>10</v>
      </c>
      <c r="E664">
        <v>850</v>
      </c>
      <c r="F664" t="b">
        <v>0</v>
      </c>
      <c r="G664" t="str">
        <f>HYPERLINK("https://www.google.com/maps/search/?api=1&amp;query=24.69113205,46.69397737", "View Map")</f>
        <v>View Map</v>
      </c>
    </row>
    <row r="665" spans="1:7" x14ac:dyDescent="0.3">
      <c r="A665" t="s">
        <v>1142</v>
      </c>
      <c r="B665" t="s">
        <v>1143</v>
      </c>
      <c r="C665" t="s">
        <v>9</v>
      </c>
      <c r="D665" t="s">
        <v>10</v>
      </c>
      <c r="E665">
        <v>849</v>
      </c>
      <c r="F665" t="b">
        <v>1</v>
      </c>
      <c r="G665" t="str">
        <f>HYPERLINK("https://www.google.com/maps/search/?api=1&amp;query=24.68306407,46.71265569", "View Map")</f>
        <v>View Map</v>
      </c>
    </row>
    <row r="666" spans="1:7" x14ac:dyDescent="0.3">
      <c r="A666" t="s">
        <v>27</v>
      </c>
      <c r="B666" t="s">
        <v>1144</v>
      </c>
      <c r="C666" t="s">
        <v>9</v>
      </c>
      <c r="D666" t="s">
        <v>154</v>
      </c>
      <c r="E666">
        <v>849</v>
      </c>
      <c r="F666" t="b">
        <v>1</v>
      </c>
      <c r="G666" t="str">
        <f>HYPERLINK("https://www.google.com/maps/search/?api=1&amp;query=24.74720507,46.62626778", "View Map")</f>
        <v>View Map</v>
      </c>
    </row>
    <row r="667" spans="1:7" x14ac:dyDescent="0.3">
      <c r="A667" t="s">
        <v>1145</v>
      </c>
      <c r="B667" t="s">
        <v>1146</v>
      </c>
      <c r="C667" t="s">
        <v>9</v>
      </c>
      <c r="D667" t="s">
        <v>10</v>
      </c>
      <c r="E667">
        <v>849</v>
      </c>
      <c r="F667" t="b">
        <v>1</v>
      </c>
      <c r="G667" t="str">
        <f>HYPERLINK("https://www.google.com/maps/search/?api=1&amp;query=24.69049771,46.77193113", "View Map")</f>
        <v>View Map</v>
      </c>
    </row>
    <row r="668" spans="1:7" x14ac:dyDescent="0.3">
      <c r="A668" t="s">
        <v>19</v>
      </c>
      <c r="B668" t="s">
        <v>1147</v>
      </c>
      <c r="C668" t="s">
        <v>9</v>
      </c>
      <c r="D668" t="s">
        <v>154</v>
      </c>
      <c r="E668">
        <v>848</v>
      </c>
      <c r="F668" t="b">
        <v>1</v>
      </c>
      <c r="G668" t="str">
        <f>HYPERLINK("https://www.google.com/maps/search/?api=1&amp;query=24.62372231,46.51273174", "View Map")</f>
        <v>View Map</v>
      </c>
    </row>
    <row r="669" spans="1:7" x14ac:dyDescent="0.3">
      <c r="A669" t="s">
        <v>159</v>
      </c>
      <c r="B669" t="s">
        <v>1148</v>
      </c>
      <c r="C669" t="s">
        <v>9</v>
      </c>
      <c r="D669" t="s">
        <v>10</v>
      </c>
      <c r="E669">
        <v>848</v>
      </c>
      <c r="F669" t="b">
        <v>1</v>
      </c>
      <c r="G669" t="str">
        <f>HYPERLINK("https://www.google.com/maps/search/?api=1&amp;query=24.57827001,46.67196013", "View Map")</f>
        <v>View Map</v>
      </c>
    </row>
    <row r="670" spans="1:7" x14ac:dyDescent="0.3">
      <c r="A670" t="s">
        <v>1149</v>
      </c>
      <c r="B670" t="s">
        <v>1150</v>
      </c>
      <c r="C670" t="s">
        <v>9</v>
      </c>
      <c r="D670" t="s">
        <v>10</v>
      </c>
      <c r="E670">
        <v>847</v>
      </c>
      <c r="F670" t="b">
        <v>1</v>
      </c>
      <c r="G670" t="str">
        <f>HYPERLINK("https://www.google.com/maps/search/?api=1&amp;query=24.81524319,46.62503079", "View Map")</f>
        <v>View Map</v>
      </c>
    </row>
    <row r="671" spans="1:7" x14ac:dyDescent="0.3">
      <c r="A671" t="s">
        <v>1151</v>
      </c>
      <c r="B671" t="s">
        <v>1152</v>
      </c>
      <c r="C671" t="s">
        <v>9</v>
      </c>
      <c r="D671" t="s">
        <v>10</v>
      </c>
      <c r="E671">
        <v>846</v>
      </c>
      <c r="F671" t="b">
        <v>1</v>
      </c>
      <c r="G671" t="str">
        <f>HYPERLINK("https://www.google.com/maps/search/?api=1&amp;query=24.610464,46.71866615", "View Map")</f>
        <v>View Map</v>
      </c>
    </row>
    <row r="672" spans="1:7" x14ac:dyDescent="0.3">
      <c r="A672" t="s">
        <v>390</v>
      </c>
      <c r="B672" t="s">
        <v>1153</v>
      </c>
      <c r="C672" t="s">
        <v>9</v>
      </c>
      <c r="D672" t="s">
        <v>154</v>
      </c>
      <c r="E672">
        <v>846</v>
      </c>
      <c r="F672" t="b">
        <v>1</v>
      </c>
      <c r="G672" t="str">
        <f>HYPERLINK("https://www.google.com/maps/search/?api=1&amp;query=24.644476,46.57954125", "View Map")</f>
        <v>View Map</v>
      </c>
    </row>
    <row r="673" spans="1:7" x14ac:dyDescent="0.3">
      <c r="A673" t="s">
        <v>1154</v>
      </c>
      <c r="B673" t="s">
        <v>1155</v>
      </c>
      <c r="C673" t="s">
        <v>9</v>
      </c>
      <c r="D673" t="s">
        <v>154</v>
      </c>
      <c r="E673">
        <v>845</v>
      </c>
      <c r="F673" t="b">
        <v>1</v>
      </c>
      <c r="G673" t="str">
        <f>HYPERLINK("https://www.google.com/maps/search/?api=1&amp;query=24.68720105,46.75389824", "View Map")</f>
        <v>View Map</v>
      </c>
    </row>
    <row r="674" spans="1:7" x14ac:dyDescent="0.3">
      <c r="A674" t="s">
        <v>1156</v>
      </c>
      <c r="B674" t="s">
        <v>1157</v>
      </c>
      <c r="C674" t="s">
        <v>9</v>
      </c>
      <c r="D674" t="s">
        <v>10</v>
      </c>
      <c r="E674">
        <v>843</v>
      </c>
      <c r="F674" t="b">
        <v>1</v>
      </c>
      <c r="G674" t="str">
        <f>HYPERLINK("https://www.google.com/maps/search/?api=1&amp;query=24.57767904,46.77713849", "View Map")</f>
        <v>View Map</v>
      </c>
    </row>
    <row r="675" spans="1:7" x14ac:dyDescent="0.3">
      <c r="A675" t="s">
        <v>27</v>
      </c>
      <c r="B675" t="s">
        <v>1158</v>
      </c>
      <c r="C675" t="s">
        <v>9</v>
      </c>
      <c r="D675" t="s">
        <v>10</v>
      </c>
      <c r="E675">
        <v>841</v>
      </c>
      <c r="F675" t="b">
        <v>1</v>
      </c>
      <c r="G675" t="str">
        <f>HYPERLINK("https://www.google.com/maps/search/?api=1&amp;query=24.55736,46.78215", "View Map")</f>
        <v>View Map</v>
      </c>
    </row>
    <row r="676" spans="1:7" x14ac:dyDescent="0.3">
      <c r="A676" t="s">
        <v>1159</v>
      </c>
      <c r="B676" t="s">
        <v>1160</v>
      </c>
      <c r="C676" t="s">
        <v>9</v>
      </c>
      <c r="D676" t="s">
        <v>10</v>
      </c>
      <c r="E676">
        <v>839</v>
      </c>
      <c r="F676" t="b">
        <v>1</v>
      </c>
      <c r="G676" t="str">
        <f>HYPERLINK("https://www.google.com/maps/search/?api=1&amp;query=24.53604199,46.6909334", "View Map")</f>
        <v>View Map</v>
      </c>
    </row>
    <row r="677" spans="1:7" x14ac:dyDescent="0.3">
      <c r="A677" t="s">
        <v>1161</v>
      </c>
      <c r="B677" t="s">
        <v>1162</v>
      </c>
      <c r="C677" t="s">
        <v>9</v>
      </c>
      <c r="D677" t="s">
        <v>154</v>
      </c>
      <c r="E677">
        <v>839</v>
      </c>
      <c r="F677" t="b">
        <v>1</v>
      </c>
      <c r="G677" t="str">
        <f>HYPERLINK("https://www.google.com/maps/search/?api=1&amp;query=24.61781262,46.73282348", "View Map")</f>
        <v>View Map</v>
      </c>
    </row>
    <row r="678" spans="1:7" x14ac:dyDescent="0.3">
      <c r="A678" t="s">
        <v>1163</v>
      </c>
      <c r="B678" t="s">
        <v>1164</v>
      </c>
      <c r="C678" t="s">
        <v>9</v>
      </c>
      <c r="D678" t="s">
        <v>10</v>
      </c>
      <c r="E678">
        <v>839</v>
      </c>
      <c r="F678" t="b">
        <v>1</v>
      </c>
      <c r="G678" t="str">
        <f>HYPERLINK("https://www.google.com/maps/search/?api=1&amp;query=24.58361235,46.6761238", "View Map")</f>
        <v>View Map</v>
      </c>
    </row>
    <row r="679" spans="1:7" x14ac:dyDescent="0.3">
      <c r="A679" t="s">
        <v>1165</v>
      </c>
      <c r="B679" t="s">
        <v>1166</v>
      </c>
      <c r="C679" t="s">
        <v>9</v>
      </c>
      <c r="D679" t="s">
        <v>10</v>
      </c>
      <c r="E679">
        <v>837</v>
      </c>
      <c r="F679" t="b">
        <v>1</v>
      </c>
      <c r="G679" t="str">
        <f>HYPERLINK("https://www.google.com/maps/search/?api=1&amp;query=24.65299869,46.67011321", "View Map")</f>
        <v>View Map</v>
      </c>
    </row>
    <row r="680" spans="1:7" x14ac:dyDescent="0.3">
      <c r="A680" t="s">
        <v>1167</v>
      </c>
      <c r="B680" t="s">
        <v>1168</v>
      </c>
      <c r="C680" t="s">
        <v>9</v>
      </c>
      <c r="D680" t="s">
        <v>10</v>
      </c>
      <c r="E680">
        <v>837</v>
      </c>
      <c r="F680" t="b">
        <v>1</v>
      </c>
      <c r="G680" t="str">
        <f>HYPERLINK("https://www.google.com/maps/search/?api=1&amp;query=24.70092834,46.67108849", "View Map")</f>
        <v>View Map</v>
      </c>
    </row>
    <row r="681" spans="1:7" x14ac:dyDescent="0.3">
      <c r="A681" t="s">
        <v>1169</v>
      </c>
      <c r="B681" t="s">
        <v>1170</v>
      </c>
      <c r="C681" t="s">
        <v>9</v>
      </c>
      <c r="D681" t="s">
        <v>10</v>
      </c>
      <c r="E681">
        <v>835</v>
      </c>
      <c r="F681" t="b">
        <v>0</v>
      </c>
      <c r="G681" t="str">
        <f>HYPERLINK("https://www.google.com/maps/search/?api=1&amp;query=24.78699566,46.7386955", "View Map")</f>
        <v>View Map</v>
      </c>
    </row>
    <row r="682" spans="1:7" x14ac:dyDescent="0.3">
      <c r="A682" t="s">
        <v>1171</v>
      </c>
      <c r="B682" t="s">
        <v>1172</v>
      </c>
      <c r="C682" t="s">
        <v>9</v>
      </c>
      <c r="D682" t="s">
        <v>10</v>
      </c>
      <c r="E682">
        <v>835</v>
      </c>
      <c r="F682" t="b">
        <v>1</v>
      </c>
      <c r="G682" t="str">
        <f>HYPERLINK("https://www.google.com/maps/search/?api=1&amp;query=24.82657066,46.81154922", "View Map")</f>
        <v>View Map</v>
      </c>
    </row>
    <row r="683" spans="1:7" x14ac:dyDescent="0.3">
      <c r="A683" t="s">
        <v>1173</v>
      </c>
      <c r="B683" t="s">
        <v>1174</v>
      </c>
      <c r="C683" t="s">
        <v>9</v>
      </c>
      <c r="D683" t="s">
        <v>10</v>
      </c>
      <c r="E683">
        <v>835</v>
      </c>
      <c r="F683" t="b">
        <v>1</v>
      </c>
      <c r="G683" t="str">
        <f>HYPERLINK("https://www.google.com/maps/search/?api=1&amp;query=24.56246651,46.64444749", "View Map")</f>
        <v>View Map</v>
      </c>
    </row>
    <row r="684" spans="1:7" x14ac:dyDescent="0.3">
      <c r="A684" t="s">
        <v>1175</v>
      </c>
      <c r="B684" t="s">
        <v>1176</v>
      </c>
      <c r="C684" t="s">
        <v>9</v>
      </c>
      <c r="D684" t="s">
        <v>10</v>
      </c>
      <c r="E684">
        <v>835</v>
      </c>
      <c r="F684" t="b">
        <v>0</v>
      </c>
      <c r="G684" t="str">
        <f>HYPERLINK("https://www.google.com/maps/search/?api=1&amp;query=24.56348315,46.69582513", "View Map")</f>
        <v>View Map</v>
      </c>
    </row>
    <row r="685" spans="1:7" x14ac:dyDescent="0.3">
      <c r="A685" t="s">
        <v>1177</v>
      </c>
      <c r="B685" t="s">
        <v>1178</v>
      </c>
      <c r="C685" t="s">
        <v>9</v>
      </c>
      <c r="D685" t="s">
        <v>10</v>
      </c>
      <c r="E685">
        <v>834</v>
      </c>
      <c r="F685" t="b">
        <v>1</v>
      </c>
      <c r="G685" t="str">
        <f>HYPERLINK("https://www.google.com/maps/search/?api=1&amp;query=24.6637176,46.80484601", "View Map")</f>
        <v>View Map</v>
      </c>
    </row>
    <row r="686" spans="1:7" x14ac:dyDescent="0.3">
      <c r="A686" t="s">
        <v>1179</v>
      </c>
      <c r="B686" t="s">
        <v>1180</v>
      </c>
      <c r="C686" t="s">
        <v>9</v>
      </c>
      <c r="D686" t="s">
        <v>10</v>
      </c>
      <c r="E686">
        <v>834</v>
      </c>
      <c r="F686" t="b">
        <v>0</v>
      </c>
      <c r="G686" t="str">
        <f>HYPERLINK("https://www.google.com/maps/search/?api=1&amp;query=24.73712026,46.81681586", "View Map")</f>
        <v>View Map</v>
      </c>
    </row>
    <row r="687" spans="1:7" x14ac:dyDescent="0.3">
      <c r="A687" t="s">
        <v>27</v>
      </c>
      <c r="B687" t="s">
        <v>1181</v>
      </c>
      <c r="C687" t="s">
        <v>9</v>
      </c>
      <c r="D687" t="s">
        <v>154</v>
      </c>
      <c r="E687">
        <v>834</v>
      </c>
      <c r="F687" t="b">
        <v>1</v>
      </c>
      <c r="G687" t="str">
        <f>HYPERLINK("https://www.google.com/maps/search/?api=1&amp;query=24.81538117,46.8052495", "View Map")</f>
        <v>View Map</v>
      </c>
    </row>
    <row r="688" spans="1:7" x14ac:dyDescent="0.3">
      <c r="A688" t="s">
        <v>720</v>
      </c>
      <c r="B688" t="s">
        <v>1182</v>
      </c>
      <c r="C688" t="s">
        <v>9</v>
      </c>
      <c r="D688" t="s">
        <v>10</v>
      </c>
      <c r="E688">
        <v>831</v>
      </c>
      <c r="F688" t="b">
        <v>1</v>
      </c>
      <c r="G688" t="str">
        <f>HYPERLINK("https://www.google.com/maps/search/?api=1&amp;query=24.56920344,46.5368839", "View Map")</f>
        <v>View Map</v>
      </c>
    </row>
    <row r="689" spans="1:7" x14ac:dyDescent="0.3">
      <c r="A689" t="s">
        <v>1183</v>
      </c>
      <c r="B689" t="s">
        <v>1184</v>
      </c>
      <c r="C689" t="s">
        <v>9</v>
      </c>
      <c r="D689" t="s">
        <v>154</v>
      </c>
      <c r="E689">
        <v>831</v>
      </c>
      <c r="F689" t="b">
        <v>1</v>
      </c>
      <c r="G689" t="str">
        <f>HYPERLINK("https://www.google.com/maps/search/?api=1&amp;query=24.63110158,46.56686122", "View Map")</f>
        <v>View Map</v>
      </c>
    </row>
    <row r="690" spans="1:7" x14ac:dyDescent="0.3">
      <c r="A690" t="s">
        <v>1185</v>
      </c>
      <c r="B690" t="s">
        <v>1186</v>
      </c>
      <c r="C690" t="s">
        <v>9</v>
      </c>
      <c r="D690" t="s">
        <v>10</v>
      </c>
      <c r="E690">
        <v>830</v>
      </c>
      <c r="F690" t="b">
        <v>1</v>
      </c>
      <c r="G690" t="str">
        <f>HYPERLINK("https://www.google.com/maps/search/?api=1&amp;query=24.67528726,46.58276208", "View Map")</f>
        <v>View Map</v>
      </c>
    </row>
    <row r="691" spans="1:7" x14ac:dyDescent="0.3">
      <c r="A691" t="s">
        <v>1187</v>
      </c>
      <c r="B691" t="s">
        <v>1188</v>
      </c>
      <c r="C691" t="s">
        <v>9</v>
      </c>
      <c r="D691" t="s">
        <v>10</v>
      </c>
      <c r="E691">
        <v>829</v>
      </c>
      <c r="F691" t="b">
        <v>1</v>
      </c>
      <c r="G691" t="str">
        <f>HYPERLINK("https://www.google.com/maps/search/?api=1&amp;query=24.66404451,46.78965257", "View Map")</f>
        <v>View Map</v>
      </c>
    </row>
    <row r="692" spans="1:7" x14ac:dyDescent="0.3">
      <c r="A692" t="s">
        <v>27</v>
      </c>
      <c r="B692" t="s">
        <v>1189</v>
      </c>
      <c r="C692" t="s">
        <v>9</v>
      </c>
      <c r="D692" t="s">
        <v>154</v>
      </c>
      <c r="E692">
        <v>828</v>
      </c>
      <c r="F692" t="b">
        <v>1</v>
      </c>
      <c r="G692" t="str">
        <f>HYPERLINK("https://www.google.com/maps/search/?api=1&amp;query=24.87773,46.60725", "View Map")</f>
        <v>View Map</v>
      </c>
    </row>
    <row r="693" spans="1:7" x14ac:dyDescent="0.3">
      <c r="A693" t="s">
        <v>1190</v>
      </c>
      <c r="B693" t="s">
        <v>1191</v>
      </c>
      <c r="C693" t="s">
        <v>9</v>
      </c>
      <c r="D693" t="s">
        <v>154</v>
      </c>
      <c r="E693">
        <v>828</v>
      </c>
      <c r="F693" t="b">
        <v>1</v>
      </c>
      <c r="G693" t="str">
        <f>HYPERLINK("https://www.google.com/maps/search/?api=1&amp;query=24.67778147,46.79428715", "View Map")</f>
        <v>View Map</v>
      </c>
    </row>
    <row r="694" spans="1:7" x14ac:dyDescent="0.3">
      <c r="A694" t="s">
        <v>1192</v>
      </c>
      <c r="B694" t="s">
        <v>1193</v>
      </c>
      <c r="C694" t="s">
        <v>9</v>
      </c>
      <c r="D694" t="s">
        <v>10</v>
      </c>
      <c r="E694">
        <v>824</v>
      </c>
      <c r="F694" t="b">
        <v>1</v>
      </c>
      <c r="G694" t="str">
        <f>HYPERLINK("https://www.google.com/maps/search/?api=1&amp;query=24.69414993,46.59166411", "View Map")</f>
        <v>View Map</v>
      </c>
    </row>
    <row r="695" spans="1:7" x14ac:dyDescent="0.3">
      <c r="A695" t="s">
        <v>1194</v>
      </c>
      <c r="B695" t="s">
        <v>1195</v>
      </c>
      <c r="C695" t="s">
        <v>72</v>
      </c>
      <c r="D695" t="s">
        <v>10</v>
      </c>
      <c r="E695">
        <v>823</v>
      </c>
      <c r="F695" t="b">
        <v>1</v>
      </c>
      <c r="G695" t="str">
        <f>HYPERLINK("https://www.google.com/maps/search/?api=1&amp;query=24.75189835,46.57878527", "View Map")</f>
        <v>View Map</v>
      </c>
    </row>
    <row r="696" spans="1:7" x14ac:dyDescent="0.3">
      <c r="A696" t="s">
        <v>1196</v>
      </c>
      <c r="B696" t="s">
        <v>1197</v>
      </c>
      <c r="C696" t="s">
        <v>9</v>
      </c>
      <c r="D696" t="s">
        <v>154</v>
      </c>
      <c r="E696">
        <v>821</v>
      </c>
      <c r="F696" t="b">
        <v>1</v>
      </c>
      <c r="G696" t="str">
        <f>HYPERLINK("https://www.google.com/maps/search/?api=1&amp;query=24.69657684,46.79283871", "View Map")</f>
        <v>View Map</v>
      </c>
    </row>
    <row r="697" spans="1:7" x14ac:dyDescent="0.3">
      <c r="A697" t="s">
        <v>1198</v>
      </c>
      <c r="B697" t="s">
        <v>1199</v>
      </c>
      <c r="C697" t="s">
        <v>9</v>
      </c>
      <c r="D697" t="s">
        <v>10</v>
      </c>
      <c r="E697">
        <v>820</v>
      </c>
      <c r="F697" t="b">
        <v>1</v>
      </c>
      <c r="G697" t="str">
        <f>HYPERLINK("https://www.google.com/maps/search/?api=1&amp;query=24.69798989,46.71405306", "View Map")</f>
        <v>View Map</v>
      </c>
    </row>
    <row r="698" spans="1:7" x14ac:dyDescent="0.3">
      <c r="A698" t="s">
        <v>1200</v>
      </c>
      <c r="B698" t="s">
        <v>1201</v>
      </c>
      <c r="C698" t="s">
        <v>9</v>
      </c>
      <c r="D698" t="s">
        <v>10</v>
      </c>
      <c r="E698">
        <v>819</v>
      </c>
      <c r="F698" t="b">
        <v>1</v>
      </c>
      <c r="G698" t="str">
        <f>HYPERLINK("https://www.google.com/maps/search/?api=1&amp;query=24.57351722,46.6148052", "View Map")</f>
        <v>View Map</v>
      </c>
    </row>
    <row r="699" spans="1:7" x14ac:dyDescent="0.3">
      <c r="A699" t="s">
        <v>1202</v>
      </c>
      <c r="B699" t="s">
        <v>1203</v>
      </c>
      <c r="C699" t="s">
        <v>9</v>
      </c>
      <c r="D699" t="s">
        <v>10</v>
      </c>
      <c r="E699">
        <v>818</v>
      </c>
      <c r="F699" t="b">
        <v>1</v>
      </c>
      <c r="G699" t="str">
        <f>HYPERLINK("https://www.google.com/maps/search/?api=1&amp;query=24.62298743,46.69722577", "View Map")</f>
        <v>View Map</v>
      </c>
    </row>
    <row r="700" spans="1:7" x14ac:dyDescent="0.3">
      <c r="A700" t="s">
        <v>1204</v>
      </c>
      <c r="B700" t="s">
        <v>1205</v>
      </c>
      <c r="C700" t="s">
        <v>9</v>
      </c>
      <c r="D700" t="s">
        <v>10</v>
      </c>
      <c r="E700">
        <v>818</v>
      </c>
      <c r="F700" t="b">
        <v>1</v>
      </c>
      <c r="G700" t="str">
        <f>HYPERLINK("https://www.google.com/maps/search/?api=1&amp;query=24.5483376,46.70362731", "View Map")</f>
        <v>View Map</v>
      </c>
    </row>
    <row r="701" spans="1:7" x14ac:dyDescent="0.3">
      <c r="A701" t="s">
        <v>19</v>
      </c>
      <c r="B701" t="s">
        <v>1206</v>
      </c>
      <c r="C701" t="s">
        <v>9</v>
      </c>
      <c r="D701" t="s">
        <v>10</v>
      </c>
      <c r="E701">
        <v>816</v>
      </c>
      <c r="F701" t="b">
        <v>1</v>
      </c>
      <c r="G701" t="str">
        <f>HYPERLINK("https://www.google.com/maps/search/?api=1&amp;query=24.76508484,46.6821018", "View Map")</f>
        <v>View Map</v>
      </c>
    </row>
    <row r="702" spans="1:7" x14ac:dyDescent="0.3">
      <c r="A702" t="s">
        <v>27</v>
      </c>
      <c r="B702" t="s">
        <v>1207</v>
      </c>
      <c r="C702" t="s">
        <v>9</v>
      </c>
      <c r="D702" t="s">
        <v>154</v>
      </c>
      <c r="E702">
        <v>816</v>
      </c>
      <c r="F702" t="b">
        <v>0</v>
      </c>
      <c r="G702" t="str">
        <f>HYPERLINK("https://www.google.com/maps/search/?api=1&amp;query=24.92525789,46.82341566", "View Map")</f>
        <v>View Map</v>
      </c>
    </row>
    <row r="703" spans="1:7" x14ac:dyDescent="0.3">
      <c r="A703" t="s">
        <v>1208</v>
      </c>
      <c r="B703" t="s">
        <v>1209</v>
      </c>
      <c r="C703" t="s">
        <v>9</v>
      </c>
      <c r="D703" t="s">
        <v>10</v>
      </c>
      <c r="E703">
        <v>815</v>
      </c>
      <c r="F703" t="b">
        <v>0</v>
      </c>
      <c r="G703" t="str">
        <f>HYPERLINK("https://www.google.com/maps/search/?api=1&amp;query=24.73792654,46.67138761", "View Map")</f>
        <v>View Map</v>
      </c>
    </row>
    <row r="704" spans="1:7" x14ac:dyDescent="0.3">
      <c r="A704" t="s">
        <v>27</v>
      </c>
      <c r="B704" t="s">
        <v>1210</v>
      </c>
      <c r="C704" t="s">
        <v>9</v>
      </c>
      <c r="D704" t="s">
        <v>154</v>
      </c>
      <c r="E704">
        <v>815</v>
      </c>
      <c r="F704" t="b">
        <v>1</v>
      </c>
      <c r="G704" t="str">
        <f>HYPERLINK("https://www.google.com/maps/search/?api=1&amp;query=24.85931823,46.82822139", "View Map")</f>
        <v>View Map</v>
      </c>
    </row>
    <row r="705" spans="1:7" x14ac:dyDescent="0.3">
      <c r="A705" t="s">
        <v>1211</v>
      </c>
      <c r="B705" t="s">
        <v>1212</v>
      </c>
      <c r="C705" t="s">
        <v>9</v>
      </c>
      <c r="D705" t="s">
        <v>10</v>
      </c>
      <c r="E705">
        <v>814</v>
      </c>
      <c r="F705" t="b">
        <v>1</v>
      </c>
      <c r="G705" t="str">
        <f>HYPERLINK("https://www.google.com/maps/search/?api=1&amp;query=24.70893355,46.78726012", "View Map")</f>
        <v>View Map</v>
      </c>
    </row>
    <row r="706" spans="1:7" x14ac:dyDescent="0.3">
      <c r="A706" t="s">
        <v>937</v>
      </c>
      <c r="B706" t="s">
        <v>1213</v>
      </c>
      <c r="C706" t="s">
        <v>9</v>
      </c>
      <c r="D706" t="s">
        <v>10</v>
      </c>
      <c r="E706">
        <v>812</v>
      </c>
      <c r="F706" t="b">
        <v>1</v>
      </c>
      <c r="G706" t="str">
        <f>HYPERLINK("https://www.google.com/maps/search/?api=1&amp;query=24.754226,46.77333975", "View Map")</f>
        <v>View Map</v>
      </c>
    </row>
    <row r="707" spans="1:7" x14ac:dyDescent="0.3">
      <c r="A707" t="s">
        <v>159</v>
      </c>
      <c r="B707" t="s">
        <v>1214</v>
      </c>
      <c r="C707" t="s">
        <v>9</v>
      </c>
      <c r="D707" t="s">
        <v>10</v>
      </c>
      <c r="E707">
        <v>811</v>
      </c>
      <c r="F707" t="b">
        <v>1</v>
      </c>
      <c r="G707" t="str">
        <f>HYPERLINK("https://www.google.com/maps/search/?api=1&amp;query=24.6239875,46.8026029", "View Map")</f>
        <v>View Map</v>
      </c>
    </row>
    <row r="708" spans="1:7" x14ac:dyDescent="0.3">
      <c r="A708" t="s">
        <v>1215</v>
      </c>
      <c r="B708" t="s">
        <v>1216</v>
      </c>
      <c r="C708" t="s">
        <v>9</v>
      </c>
      <c r="D708" t="s">
        <v>154</v>
      </c>
      <c r="E708">
        <v>810</v>
      </c>
      <c r="F708" t="b">
        <v>1</v>
      </c>
      <c r="G708" t="str">
        <f>HYPERLINK("https://www.google.com/maps/search/?api=1&amp;query=24.73790389,46.71423975", "View Map")</f>
        <v>View Map</v>
      </c>
    </row>
    <row r="709" spans="1:7" x14ac:dyDescent="0.3">
      <c r="A709" t="s">
        <v>1217</v>
      </c>
      <c r="B709" t="s">
        <v>1218</v>
      </c>
      <c r="C709" t="s">
        <v>9</v>
      </c>
      <c r="D709" t="s">
        <v>10</v>
      </c>
      <c r="E709">
        <v>809</v>
      </c>
      <c r="F709" t="b">
        <v>1</v>
      </c>
      <c r="G709" t="str">
        <f>HYPERLINK("https://www.google.com/maps/search/?api=1&amp;query=24.58082044,46.68156942", "View Map")</f>
        <v>View Map</v>
      </c>
    </row>
    <row r="710" spans="1:7" x14ac:dyDescent="0.3">
      <c r="A710" t="s">
        <v>1219</v>
      </c>
      <c r="B710" t="s">
        <v>1220</v>
      </c>
      <c r="C710" t="s">
        <v>9</v>
      </c>
      <c r="D710" t="s">
        <v>10</v>
      </c>
      <c r="E710">
        <v>809</v>
      </c>
      <c r="F710" t="b">
        <v>1</v>
      </c>
      <c r="G710" t="str">
        <f>HYPERLINK("https://www.google.com/maps/search/?api=1&amp;query=24.76648616,46.78203754", "View Map")</f>
        <v>View Map</v>
      </c>
    </row>
    <row r="711" spans="1:7" x14ac:dyDescent="0.3">
      <c r="A711" t="s">
        <v>390</v>
      </c>
      <c r="B711" t="s">
        <v>1221</v>
      </c>
      <c r="C711" t="s">
        <v>9</v>
      </c>
      <c r="D711" t="s">
        <v>154</v>
      </c>
      <c r="E711">
        <v>809</v>
      </c>
      <c r="F711" t="b">
        <v>1</v>
      </c>
      <c r="G711" t="str">
        <f>HYPERLINK("https://www.google.com/maps/search/?api=1&amp;query=24.77894893,46.67866674", "View Map")</f>
        <v>View Map</v>
      </c>
    </row>
    <row r="712" spans="1:7" x14ac:dyDescent="0.3">
      <c r="A712" t="s">
        <v>1222</v>
      </c>
      <c r="B712" t="s">
        <v>1223</v>
      </c>
      <c r="C712" t="s">
        <v>9</v>
      </c>
      <c r="D712" t="s">
        <v>154</v>
      </c>
      <c r="E712">
        <v>809</v>
      </c>
      <c r="F712" t="b">
        <v>1</v>
      </c>
      <c r="G712" t="str">
        <f>HYPERLINK("https://www.google.com/maps/search/?api=1&amp;query=24.73681019,46.66074584", "View Map")</f>
        <v>View Map</v>
      </c>
    </row>
    <row r="713" spans="1:7" x14ac:dyDescent="0.3">
      <c r="A713" t="s">
        <v>1224</v>
      </c>
      <c r="B713" t="s">
        <v>1225</v>
      </c>
      <c r="C713" t="s">
        <v>9</v>
      </c>
      <c r="D713" t="s">
        <v>10</v>
      </c>
      <c r="E713">
        <v>809</v>
      </c>
      <c r="F713" t="b">
        <v>1</v>
      </c>
      <c r="G713" t="str">
        <f>HYPERLINK("https://www.google.com/maps/search/?api=1&amp;query=24.79055915,46.79616398", "View Map")</f>
        <v>View Map</v>
      </c>
    </row>
    <row r="714" spans="1:7" x14ac:dyDescent="0.3">
      <c r="A714" t="s">
        <v>1226</v>
      </c>
      <c r="B714" t="s">
        <v>1227</v>
      </c>
      <c r="C714" t="s">
        <v>9</v>
      </c>
      <c r="D714" t="s">
        <v>10</v>
      </c>
      <c r="E714">
        <v>809</v>
      </c>
      <c r="F714" t="b">
        <v>1</v>
      </c>
      <c r="G714" t="str">
        <f>HYPERLINK("https://www.google.com/maps/search/?api=1&amp;query=24.78023049,46.67701325", "View Map")</f>
        <v>View Map</v>
      </c>
    </row>
    <row r="715" spans="1:7" x14ac:dyDescent="0.3">
      <c r="A715" t="s">
        <v>27</v>
      </c>
      <c r="B715" t="s">
        <v>1228</v>
      </c>
      <c r="C715" t="s">
        <v>9</v>
      </c>
      <c r="D715" t="s">
        <v>10</v>
      </c>
      <c r="E715">
        <v>808</v>
      </c>
      <c r="F715" t="b">
        <v>1</v>
      </c>
      <c r="G715" t="str">
        <f>HYPERLINK("https://www.google.com/maps/search/?api=1&amp;query=24.57921565,46.76080623", "View Map")</f>
        <v>View Map</v>
      </c>
    </row>
    <row r="716" spans="1:7" x14ac:dyDescent="0.3">
      <c r="A716" t="s">
        <v>1229</v>
      </c>
      <c r="B716" t="s">
        <v>1230</v>
      </c>
      <c r="C716" t="s">
        <v>9</v>
      </c>
      <c r="D716" t="s">
        <v>10</v>
      </c>
      <c r="E716">
        <v>807</v>
      </c>
      <c r="F716" t="b">
        <v>1</v>
      </c>
      <c r="G716" t="str">
        <f>HYPERLINK("https://www.google.com/maps/search/?api=1&amp;query=24.60629086,46.74003516", "View Map")</f>
        <v>View Map</v>
      </c>
    </row>
    <row r="717" spans="1:7" x14ac:dyDescent="0.3">
      <c r="A717" t="s">
        <v>1231</v>
      </c>
      <c r="B717" t="s">
        <v>1232</v>
      </c>
      <c r="C717" t="s">
        <v>9</v>
      </c>
      <c r="D717" t="s">
        <v>10</v>
      </c>
      <c r="E717">
        <v>806</v>
      </c>
      <c r="F717" t="b">
        <v>1</v>
      </c>
      <c r="G717" t="str">
        <f>HYPERLINK("https://www.google.com/maps/search/?api=1&amp;query=24.77379701,46.67295", "View Map")</f>
        <v>View Map</v>
      </c>
    </row>
    <row r="718" spans="1:7" x14ac:dyDescent="0.3">
      <c r="A718" t="s">
        <v>1233</v>
      </c>
      <c r="B718" t="s">
        <v>1234</v>
      </c>
      <c r="C718" t="s">
        <v>9</v>
      </c>
      <c r="D718" t="s">
        <v>10</v>
      </c>
      <c r="E718">
        <v>804</v>
      </c>
      <c r="F718" t="b">
        <v>1</v>
      </c>
      <c r="G718" t="str">
        <f>HYPERLINK("https://www.google.com/maps/search/?api=1&amp;query=24.58589189,46.78317575", "View Map")</f>
        <v>View Map</v>
      </c>
    </row>
    <row r="719" spans="1:7" x14ac:dyDescent="0.3">
      <c r="A719" t="s">
        <v>159</v>
      </c>
      <c r="B719" t="s">
        <v>1235</v>
      </c>
      <c r="C719" t="s">
        <v>72</v>
      </c>
      <c r="D719" t="s">
        <v>10</v>
      </c>
      <c r="E719">
        <v>804</v>
      </c>
      <c r="F719" t="b">
        <v>1</v>
      </c>
      <c r="G719" t="str">
        <f>HYPERLINK("https://www.google.com/maps/search/?api=1&amp;query=24.90602576,46.42934811", "View Map")</f>
        <v>View Map</v>
      </c>
    </row>
    <row r="720" spans="1:7" x14ac:dyDescent="0.3">
      <c r="A720" t="s">
        <v>194</v>
      </c>
      <c r="B720" t="s">
        <v>1236</v>
      </c>
      <c r="C720" t="s">
        <v>9</v>
      </c>
      <c r="D720" t="s">
        <v>154</v>
      </c>
      <c r="E720">
        <v>803</v>
      </c>
      <c r="F720" t="b">
        <v>1</v>
      </c>
      <c r="G720" t="str">
        <f>HYPERLINK("https://www.google.com/maps/search/?api=1&amp;query=24.80864369,46.84182029", "View Map")</f>
        <v>View Map</v>
      </c>
    </row>
    <row r="721" spans="1:7" x14ac:dyDescent="0.3">
      <c r="A721" t="s">
        <v>1237</v>
      </c>
      <c r="B721" t="s">
        <v>1238</v>
      </c>
      <c r="C721" t="s">
        <v>9</v>
      </c>
      <c r="D721" t="s">
        <v>10</v>
      </c>
      <c r="E721">
        <v>803</v>
      </c>
      <c r="F721" t="b">
        <v>0</v>
      </c>
      <c r="G721" t="str">
        <f>HYPERLINK("https://www.google.com/maps/search/?api=1&amp;query=24.63805728,46.74544209", "View Map")</f>
        <v>View Map</v>
      </c>
    </row>
    <row r="722" spans="1:7" x14ac:dyDescent="0.3">
      <c r="A722" t="s">
        <v>27</v>
      </c>
      <c r="B722" t="s">
        <v>1239</v>
      </c>
      <c r="C722" t="s">
        <v>9</v>
      </c>
      <c r="D722" t="s">
        <v>10</v>
      </c>
      <c r="E722">
        <v>802</v>
      </c>
      <c r="F722" t="b">
        <v>1</v>
      </c>
      <c r="G722" t="str">
        <f>HYPERLINK("https://www.google.com/maps/search/?api=1&amp;query=24.83921676,46.67400011", "View Map")</f>
        <v>View Map</v>
      </c>
    </row>
    <row r="723" spans="1:7" x14ac:dyDescent="0.3">
      <c r="A723" t="s">
        <v>27</v>
      </c>
      <c r="B723" t="s">
        <v>1240</v>
      </c>
      <c r="C723" t="s">
        <v>9</v>
      </c>
      <c r="D723" t="s">
        <v>10</v>
      </c>
      <c r="E723">
        <v>801</v>
      </c>
      <c r="F723" t="b">
        <v>1</v>
      </c>
      <c r="G723" t="str">
        <f>HYPERLINK("https://www.google.com/maps/search/?api=1&amp;query=24.92937923,46.806863", "View Map")</f>
        <v>View Map</v>
      </c>
    </row>
    <row r="724" spans="1:7" x14ac:dyDescent="0.3">
      <c r="A724" t="s">
        <v>1241</v>
      </c>
      <c r="B724" t="s">
        <v>1242</v>
      </c>
      <c r="C724" t="s">
        <v>9</v>
      </c>
      <c r="D724" t="s">
        <v>10</v>
      </c>
      <c r="E724">
        <v>799</v>
      </c>
      <c r="F724" t="b">
        <v>1</v>
      </c>
      <c r="G724" t="str">
        <f>HYPERLINK("https://www.google.com/maps/search/?api=1&amp;query=24.80503329,46.71316172", "View Map")</f>
        <v>View Map</v>
      </c>
    </row>
    <row r="725" spans="1:7" x14ac:dyDescent="0.3">
      <c r="A725" t="s">
        <v>194</v>
      </c>
      <c r="B725" t="s">
        <v>1243</v>
      </c>
      <c r="C725" t="s">
        <v>9</v>
      </c>
      <c r="D725" t="s">
        <v>10</v>
      </c>
      <c r="E725">
        <v>798</v>
      </c>
      <c r="F725" t="b">
        <v>1</v>
      </c>
      <c r="G725" t="str">
        <f>HYPERLINK("https://www.google.com/maps/search/?api=1&amp;query=24.83148734,46.88593313", "View Map")</f>
        <v>View Map</v>
      </c>
    </row>
    <row r="726" spans="1:7" x14ac:dyDescent="0.3">
      <c r="A726" t="s">
        <v>1244</v>
      </c>
      <c r="B726" t="s">
        <v>1245</v>
      </c>
      <c r="C726" t="s">
        <v>9</v>
      </c>
      <c r="D726" t="s">
        <v>10</v>
      </c>
      <c r="E726">
        <v>798</v>
      </c>
      <c r="F726" t="b">
        <v>1</v>
      </c>
      <c r="G726" t="str">
        <f>HYPERLINK("https://www.google.com/maps/search/?api=1&amp;query=24.58434024,46.63381265", "View Map")</f>
        <v>View Map</v>
      </c>
    </row>
    <row r="727" spans="1:7" x14ac:dyDescent="0.3">
      <c r="A727" t="s">
        <v>27</v>
      </c>
      <c r="B727" t="s">
        <v>1246</v>
      </c>
      <c r="C727" t="s">
        <v>9</v>
      </c>
      <c r="D727" t="s">
        <v>10</v>
      </c>
      <c r="E727">
        <v>797</v>
      </c>
      <c r="F727" t="b">
        <v>1</v>
      </c>
      <c r="G727" t="str">
        <f>HYPERLINK("https://www.google.com/maps/search/?api=1&amp;query=24.86567163,46.65031705", "View Map")</f>
        <v>View Map</v>
      </c>
    </row>
    <row r="728" spans="1:7" x14ac:dyDescent="0.3">
      <c r="A728" t="s">
        <v>1247</v>
      </c>
      <c r="B728" t="s">
        <v>1248</v>
      </c>
      <c r="C728" t="s">
        <v>9</v>
      </c>
      <c r="D728" t="s">
        <v>10</v>
      </c>
      <c r="E728">
        <v>797</v>
      </c>
      <c r="F728" t="b">
        <v>1</v>
      </c>
      <c r="G728" t="str">
        <f>HYPERLINK("https://www.google.com/maps/search/?api=1&amp;query=24.76235624,46.68537258", "View Map")</f>
        <v>View Map</v>
      </c>
    </row>
    <row r="729" spans="1:7" x14ac:dyDescent="0.3">
      <c r="A729" t="s">
        <v>1249</v>
      </c>
      <c r="B729" t="s">
        <v>1250</v>
      </c>
      <c r="C729" t="s">
        <v>9</v>
      </c>
      <c r="D729" t="s">
        <v>10</v>
      </c>
      <c r="E729">
        <v>797</v>
      </c>
      <c r="F729" t="b">
        <v>1</v>
      </c>
      <c r="G729" t="str">
        <f>HYPERLINK("https://www.google.com/maps/search/?api=1&amp;query=24.73949871,46.65047424", "View Map")</f>
        <v>View Map</v>
      </c>
    </row>
    <row r="730" spans="1:7" x14ac:dyDescent="0.3">
      <c r="A730" t="s">
        <v>1251</v>
      </c>
      <c r="B730" t="s">
        <v>1252</v>
      </c>
      <c r="C730" t="s">
        <v>9</v>
      </c>
      <c r="D730" t="s">
        <v>10</v>
      </c>
      <c r="E730">
        <v>797</v>
      </c>
      <c r="F730" t="b">
        <v>1</v>
      </c>
      <c r="G730" t="str">
        <f>HYPERLINK("https://www.google.com/maps/search/?api=1&amp;query=24.78350463,46.66439239", "View Map")</f>
        <v>View Map</v>
      </c>
    </row>
    <row r="731" spans="1:7" x14ac:dyDescent="0.3">
      <c r="A731" t="s">
        <v>159</v>
      </c>
      <c r="B731" t="s">
        <v>1253</v>
      </c>
      <c r="C731" t="s">
        <v>9</v>
      </c>
      <c r="D731" t="s">
        <v>10</v>
      </c>
      <c r="E731">
        <v>797</v>
      </c>
      <c r="F731" t="b">
        <v>1</v>
      </c>
      <c r="G731" t="str">
        <f>HYPERLINK("https://www.google.com/maps/search/?api=1&amp;query=24.9207114,46.8107448", "View Map")</f>
        <v>View Map</v>
      </c>
    </row>
    <row r="732" spans="1:7" x14ac:dyDescent="0.3">
      <c r="A732" t="s">
        <v>1254</v>
      </c>
      <c r="B732" t="s">
        <v>1255</v>
      </c>
      <c r="C732" t="s">
        <v>9</v>
      </c>
      <c r="D732" t="s">
        <v>10</v>
      </c>
      <c r="E732">
        <v>795</v>
      </c>
      <c r="F732" t="b">
        <v>1</v>
      </c>
      <c r="G732" t="str">
        <f>HYPERLINK("https://www.google.com/maps/search/?api=1&amp;query=24.79925151,46.75696958", "View Map")</f>
        <v>View Map</v>
      </c>
    </row>
    <row r="733" spans="1:7" x14ac:dyDescent="0.3">
      <c r="A733" t="s">
        <v>27</v>
      </c>
      <c r="B733" t="s">
        <v>1256</v>
      </c>
      <c r="C733" t="s">
        <v>72</v>
      </c>
      <c r="D733" t="s">
        <v>10</v>
      </c>
      <c r="E733">
        <v>793</v>
      </c>
      <c r="F733" t="b">
        <v>1</v>
      </c>
      <c r="G733" t="str">
        <f>HYPERLINK("https://www.google.com/maps/search/?api=1&amp;query=24.78281,46.56064", "View Map")</f>
        <v>View Map</v>
      </c>
    </row>
    <row r="734" spans="1:7" x14ac:dyDescent="0.3">
      <c r="A734" t="s">
        <v>1257</v>
      </c>
      <c r="B734" t="s">
        <v>1258</v>
      </c>
      <c r="C734" t="s">
        <v>9</v>
      </c>
      <c r="D734" t="s">
        <v>10</v>
      </c>
      <c r="E734">
        <v>793</v>
      </c>
      <c r="F734" t="b">
        <v>1</v>
      </c>
      <c r="G734" t="str">
        <f>HYPERLINK("https://www.google.com/maps/search/?api=1&amp;query=24.61892393,46.65474334", "View Map")</f>
        <v>View Map</v>
      </c>
    </row>
    <row r="735" spans="1:7" x14ac:dyDescent="0.3">
      <c r="A735" t="s">
        <v>1259</v>
      </c>
      <c r="B735" t="s">
        <v>1260</v>
      </c>
      <c r="C735" t="s">
        <v>9</v>
      </c>
      <c r="D735" t="s">
        <v>10</v>
      </c>
      <c r="E735">
        <v>791</v>
      </c>
      <c r="F735" t="b">
        <v>1</v>
      </c>
      <c r="G735" t="str">
        <f>HYPERLINK("https://www.google.com/maps/search/?api=1&amp;query=24.79646133,46.70030065", "View Map")</f>
        <v>View Map</v>
      </c>
    </row>
    <row r="736" spans="1:7" x14ac:dyDescent="0.3">
      <c r="A736" t="s">
        <v>1261</v>
      </c>
      <c r="B736" t="s">
        <v>1262</v>
      </c>
      <c r="C736" t="s">
        <v>9</v>
      </c>
      <c r="D736" t="s">
        <v>10</v>
      </c>
      <c r="E736">
        <v>790</v>
      </c>
      <c r="F736" t="b">
        <v>1</v>
      </c>
      <c r="G736" t="str">
        <f>HYPERLINK("https://www.google.com/maps/search/?api=1&amp;query=24.7488239,46.78776709", "View Map")</f>
        <v>View Map</v>
      </c>
    </row>
    <row r="737" spans="1:7" x14ac:dyDescent="0.3">
      <c r="A737" t="s">
        <v>1263</v>
      </c>
      <c r="B737" t="s">
        <v>1264</v>
      </c>
      <c r="C737" t="s">
        <v>9</v>
      </c>
      <c r="D737" t="s">
        <v>10</v>
      </c>
      <c r="E737">
        <v>790</v>
      </c>
      <c r="F737" t="b">
        <v>1</v>
      </c>
      <c r="G737" t="str">
        <f>HYPERLINK("https://www.google.com/maps/search/?api=1&amp;query=24.60161561,46.72360367", "View Map")</f>
        <v>View Map</v>
      </c>
    </row>
    <row r="738" spans="1:7" x14ac:dyDescent="0.3">
      <c r="A738" t="s">
        <v>1265</v>
      </c>
      <c r="B738" t="s">
        <v>1266</v>
      </c>
      <c r="C738" t="s">
        <v>9</v>
      </c>
      <c r="D738" t="s">
        <v>10</v>
      </c>
      <c r="E738">
        <v>790</v>
      </c>
      <c r="F738" t="b">
        <v>1</v>
      </c>
      <c r="G738" t="str">
        <f>HYPERLINK("https://www.google.com/maps/search/?api=1&amp;query=24.7129834,46.79048354", "View Map")</f>
        <v>View Map</v>
      </c>
    </row>
    <row r="739" spans="1:7" x14ac:dyDescent="0.3">
      <c r="A739" t="s">
        <v>194</v>
      </c>
      <c r="B739" t="s">
        <v>1267</v>
      </c>
      <c r="C739" t="s">
        <v>9</v>
      </c>
      <c r="D739" t="s">
        <v>10</v>
      </c>
      <c r="E739">
        <v>790</v>
      </c>
      <c r="F739" t="b">
        <v>1</v>
      </c>
      <c r="G739" t="str">
        <f>HYPERLINK("https://www.google.com/maps/search/?api=1&amp;query=24.75162793,46.8422796", "View Map")</f>
        <v>View Map</v>
      </c>
    </row>
    <row r="740" spans="1:7" x14ac:dyDescent="0.3">
      <c r="A740" t="s">
        <v>27</v>
      </c>
      <c r="B740" t="s">
        <v>1268</v>
      </c>
      <c r="C740" t="s">
        <v>72</v>
      </c>
      <c r="D740" t="s">
        <v>10</v>
      </c>
      <c r="E740">
        <v>789</v>
      </c>
      <c r="F740" t="b">
        <v>1</v>
      </c>
      <c r="G740" t="str">
        <f>HYPERLINK("https://www.google.com/maps/search/?api=1&amp;query=24.82994564,46.5653247", "View Map")</f>
        <v>View Map</v>
      </c>
    </row>
    <row r="741" spans="1:7" x14ac:dyDescent="0.3">
      <c r="A741" t="s">
        <v>1269</v>
      </c>
      <c r="B741" t="s">
        <v>1270</v>
      </c>
      <c r="C741" t="s">
        <v>9</v>
      </c>
      <c r="D741" t="s">
        <v>154</v>
      </c>
      <c r="E741">
        <v>788</v>
      </c>
      <c r="F741" t="b">
        <v>1</v>
      </c>
      <c r="G741" t="str">
        <f>HYPERLINK("https://www.google.com/maps/search/?api=1&amp;query=24.72976975,46.6530934", "View Map")</f>
        <v>View Map</v>
      </c>
    </row>
    <row r="742" spans="1:7" x14ac:dyDescent="0.3">
      <c r="A742" t="s">
        <v>1271</v>
      </c>
      <c r="B742" t="s">
        <v>1272</v>
      </c>
      <c r="C742" t="s">
        <v>9</v>
      </c>
      <c r="D742" t="s">
        <v>10</v>
      </c>
      <c r="E742">
        <v>787</v>
      </c>
      <c r="F742" t="b">
        <v>1</v>
      </c>
      <c r="G742" t="str">
        <f>HYPERLINK("https://www.google.com/maps/search/?api=1&amp;query=24.59043053,46.64855906", "View Map")</f>
        <v>View Map</v>
      </c>
    </row>
    <row r="743" spans="1:7" x14ac:dyDescent="0.3">
      <c r="A743" t="s">
        <v>27</v>
      </c>
      <c r="B743" t="s">
        <v>1273</v>
      </c>
      <c r="C743" t="s">
        <v>72</v>
      </c>
      <c r="D743" t="s">
        <v>10</v>
      </c>
      <c r="E743">
        <v>787</v>
      </c>
      <c r="F743" t="b">
        <v>1</v>
      </c>
      <c r="G743" t="str">
        <f>HYPERLINK("https://www.google.com/maps/search/?api=1&amp;query=24.78145877,46.57774639", "View Map")</f>
        <v>View Map</v>
      </c>
    </row>
    <row r="744" spans="1:7" x14ac:dyDescent="0.3">
      <c r="A744" t="s">
        <v>1274</v>
      </c>
      <c r="B744" t="s">
        <v>1275</v>
      </c>
      <c r="C744" t="s">
        <v>9</v>
      </c>
      <c r="D744" t="s">
        <v>10</v>
      </c>
      <c r="E744">
        <v>786</v>
      </c>
      <c r="F744" t="b">
        <v>0</v>
      </c>
      <c r="G744" t="str">
        <f>HYPERLINK("https://www.google.com/maps/search/?api=1&amp;query=24.81081046,46.869733", "View Map")</f>
        <v>View Map</v>
      </c>
    </row>
    <row r="745" spans="1:7" x14ac:dyDescent="0.3">
      <c r="A745" t="s">
        <v>1276</v>
      </c>
      <c r="B745" t="s">
        <v>1277</v>
      </c>
      <c r="C745" t="s">
        <v>9</v>
      </c>
      <c r="D745" t="s">
        <v>10</v>
      </c>
      <c r="E745">
        <v>786</v>
      </c>
      <c r="F745" t="b">
        <v>1</v>
      </c>
      <c r="G745" t="str">
        <f>HYPERLINK("https://www.google.com/maps/search/?api=1&amp;query=24.76045268,46.66736514", "View Map")</f>
        <v>View Map</v>
      </c>
    </row>
    <row r="746" spans="1:7" x14ac:dyDescent="0.3">
      <c r="A746" t="s">
        <v>1278</v>
      </c>
      <c r="B746" t="s">
        <v>1279</v>
      </c>
      <c r="C746" t="s">
        <v>9</v>
      </c>
      <c r="D746" t="s">
        <v>10</v>
      </c>
      <c r="E746">
        <v>785</v>
      </c>
      <c r="F746" t="b">
        <v>1</v>
      </c>
      <c r="G746" t="str">
        <f>HYPERLINK("https://www.google.com/maps/search/?api=1&amp;query=24.57850436,46.70339837", "View Map")</f>
        <v>View Map</v>
      </c>
    </row>
    <row r="747" spans="1:7" x14ac:dyDescent="0.3">
      <c r="A747" t="s">
        <v>27</v>
      </c>
      <c r="B747" t="s">
        <v>1280</v>
      </c>
      <c r="C747" t="s">
        <v>9</v>
      </c>
      <c r="D747" t="s">
        <v>10</v>
      </c>
      <c r="E747">
        <v>785</v>
      </c>
      <c r="F747" t="b">
        <v>1</v>
      </c>
      <c r="G747" t="str">
        <f>HYPERLINK("https://www.google.com/maps/search/?api=1&amp;query=24.86585165,46.67032626", "View Map")</f>
        <v>View Map</v>
      </c>
    </row>
    <row r="748" spans="1:7" x14ac:dyDescent="0.3">
      <c r="A748" t="s">
        <v>27</v>
      </c>
      <c r="B748" t="s">
        <v>1281</v>
      </c>
      <c r="C748" t="s">
        <v>9</v>
      </c>
      <c r="D748" t="s">
        <v>154</v>
      </c>
      <c r="E748">
        <v>785</v>
      </c>
      <c r="F748" t="b">
        <v>1</v>
      </c>
      <c r="G748" t="str">
        <f>HYPERLINK("https://www.google.com/maps/search/?api=1&amp;query=24.83805597,46.73961521", "View Map")</f>
        <v>View Map</v>
      </c>
    </row>
    <row r="749" spans="1:7" x14ac:dyDescent="0.3">
      <c r="A749" t="s">
        <v>1282</v>
      </c>
      <c r="B749" t="s">
        <v>1283</v>
      </c>
      <c r="C749" t="s">
        <v>9</v>
      </c>
      <c r="D749" t="s">
        <v>10</v>
      </c>
      <c r="E749">
        <v>784</v>
      </c>
      <c r="F749" t="b">
        <v>1</v>
      </c>
      <c r="G749" t="str">
        <f>HYPERLINK("https://www.google.com/maps/search/?api=1&amp;query=24.77815541,46.69634206", "View Map")</f>
        <v>View Map</v>
      </c>
    </row>
    <row r="750" spans="1:7" x14ac:dyDescent="0.3">
      <c r="A750" t="s">
        <v>159</v>
      </c>
      <c r="B750" t="s">
        <v>1284</v>
      </c>
      <c r="C750" t="s">
        <v>9</v>
      </c>
      <c r="D750" t="s">
        <v>154</v>
      </c>
      <c r="E750">
        <v>783</v>
      </c>
      <c r="F750" t="b">
        <v>1</v>
      </c>
      <c r="G750" t="str">
        <f>HYPERLINK("https://www.google.com/maps/search/?api=1&amp;query=24.56314833,46.59821793", "View Map")</f>
        <v>View Map</v>
      </c>
    </row>
    <row r="751" spans="1:7" x14ac:dyDescent="0.3">
      <c r="A751" t="s">
        <v>105</v>
      </c>
      <c r="B751" t="s">
        <v>1285</v>
      </c>
      <c r="C751" t="s">
        <v>9</v>
      </c>
      <c r="D751" t="s">
        <v>154</v>
      </c>
      <c r="E751">
        <v>783</v>
      </c>
      <c r="F751" t="b">
        <v>1</v>
      </c>
      <c r="G751" t="str">
        <f>HYPERLINK("https://www.google.com/maps/search/?api=1&amp;query=24.62634079,46.55282724", "View Map")</f>
        <v>View Map</v>
      </c>
    </row>
    <row r="752" spans="1:7" x14ac:dyDescent="0.3">
      <c r="A752" t="s">
        <v>27</v>
      </c>
      <c r="B752" t="s">
        <v>1286</v>
      </c>
      <c r="C752" t="s">
        <v>9</v>
      </c>
      <c r="D752" t="s">
        <v>10</v>
      </c>
      <c r="E752">
        <v>782</v>
      </c>
      <c r="F752" t="b">
        <v>1</v>
      </c>
      <c r="G752" t="str">
        <f>HYPERLINK("https://www.google.com/maps/search/?api=1&amp;query=24.78781431,46.60127892", "View Map")</f>
        <v>View Map</v>
      </c>
    </row>
    <row r="753" spans="1:7" x14ac:dyDescent="0.3">
      <c r="A753" t="s">
        <v>1287</v>
      </c>
      <c r="B753" t="s">
        <v>1288</v>
      </c>
      <c r="C753" t="s">
        <v>9</v>
      </c>
      <c r="D753" t="s">
        <v>10</v>
      </c>
      <c r="E753">
        <v>782</v>
      </c>
      <c r="F753" t="b">
        <v>1</v>
      </c>
      <c r="G753" t="str">
        <f>HYPERLINK("https://www.google.com/maps/search/?api=1&amp;query=24.54079401,46.64107926", "View Map")</f>
        <v>View Map</v>
      </c>
    </row>
    <row r="754" spans="1:7" x14ac:dyDescent="0.3">
      <c r="A754" t="s">
        <v>159</v>
      </c>
      <c r="B754" t="s">
        <v>1289</v>
      </c>
      <c r="C754" t="s">
        <v>9</v>
      </c>
      <c r="D754" t="s">
        <v>154</v>
      </c>
      <c r="E754">
        <v>781</v>
      </c>
      <c r="F754" t="b">
        <v>1</v>
      </c>
      <c r="G754" t="str">
        <f>HYPERLINK("https://www.google.com/maps/search/?api=1&amp;query=24.55363955,46.6674507", "View Map")</f>
        <v>View Map</v>
      </c>
    </row>
    <row r="755" spans="1:7" x14ac:dyDescent="0.3">
      <c r="A755" t="s">
        <v>1290</v>
      </c>
      <c r="B755" t="s">
        <v>1291</v>
      </c>
      <c r="C755" t="s">
        <v>9</v>
      </c>
      <c r="D755" t="s">
        <v>10</v>
      </c>
      <c r="E755">
        <v>780</v>
      </c>
      <c r="F755" t="b">
        <v>1</v>
      </c>
      <c r="G755" t="str">
        <f>HYPERLINK("https://www.google.com/maps/search/?api=1&amp;query=24.53702639,46.65281047", "View Map")</f>
        <v>View Map</v>
      </c>
    </row>
    <row r="756" spans="1:7" x14ac:dyDescent="0.3">
      <c r="A756" t="s">
        <v>1292</v>
      </c>
      <c r="B756" t="s">
        <v>1293</v>
      </c>
      <c r="C756" t="s">
        <v>9</v>
      </c>
      <c r="D756" t="s">
        <v>154</v>
      </c>
      <c r="E756">
        <v>780</v>
      </c>
      <c r="F756" t="b">
        <v>1</v>
      </c>
      <c r="G756" t="str">
        <f>HYPERLINK("https://www.google.com/maps/search/?api=1&amp;query=24.73280569,46.66256694", "View Map")</f>
        <v>View Map</v>
      </c>
    </row>
    <row r="757" spans="1:7" x14ac:dyDescent="0.3">
      <c r="A757" t="s">
        <v>27</v>
      </c>
      <c r="B757" t="s">
        <v>1294</v>
      </c>
      <c r="C757" t="s">
        <v>9</v>
      </c>
      <c r="D757" t="s">
        <v>10</v>
      </c>
      <c r="E757">
        <v>780</v>
      </c>
      <c r="F757" t="b">
        <v>1</v>
      </c>
      <c r="G757" t="str">
        <f>HYPERLINK("https://www.google.com/maps/search/?api=1&amp;query=24.79414024,46.73328974", "View Map")</f>
        <v>View Map</v>
      </c>
    </row>
    <row r="758" spans="1:7" x14ac:dyDescent="0.3">
      <c r="A758" t="s">
        <v>27</v>
      </c>
      <c r="B758" t="s">
        <v>1295</v>
      </c>
      <c r="C758" t="s">
        <v>9</v>
      </c>
      <c r="D758" t="s">
        <v>154</v>
      </c>
      <c r="E758">
        <v>779</v>
      </c>
      <c r="F758" t="b">
        <v>1</v>
      </c>
      <c r="G758" t="str">
        <f>HYPERLINK("https://www.google.com/maps/search/?api=1&amp;query=24.79167228,46.6115861", "View Map")</f>
        <v>View Map</v>
      </c>
    </row>
    <row r="759" spans="1:7" x14ac:dyDescent="0.3">
      <c r="A759" t="s">
        <v>1296</v>
      </c>
      <c r="B759" t="s">
        <v>1297</v>
      </c>
      <c r="C759" t="s">
        <v>9</v>
      </c>
      <c r="D759" t="s">
        <v>154</v>
      </c>
      <c r="E759">
        <v>779</v>
      </c>
      <c r="F759" t="b">
        <v>1</v>
      </c>
      <c r="G759" t="str">
        <f>HYPERLINK("https://www.google.com/maps/search/?api=1&amp;query=24.5683,46.6019", "View Map")</f>
        <v>View Map</v>
      </c>
    </row>
    <row r="760" spans="1:7" x14ac:dyDescent="0.3">
      <c r="A760" t="s">
        <v>1298</v>
      </c>
      <c r="B760" t="s">
        <v>1299</v>
      </c>
      <c r="C760" t="s">
        <v>9</v>
      </c>
      <c r="D760" t="s">
        <v>10</v>
      </c>
      <c r="E760">
        <v>777</v>
      </c>
      <c r="F760" t="b">
        <v>1</v>
      </c>
      <c r="G760" t="str">
        <f>HYPERLINK("https://www.google.com/maps/search/?api=1&amp;query=24.62549501,46.69035341", "View Map")</f>
        <v>View Map</v>
      </c>
    </row>
    <row r="761" spans="1:7" x14ac:dyDescent="0.3">
      <c r="A761" t="s">
        <v>1300</v>
      </c>
      <c r="B761" t="s">
        <v>1301</v>
      </c>
      <c r="C761" t="s">
        <v>9</v>
      </c>
      <c r="D761" t="s">
        <v>10</v>
      </c>
      <c r="E761">
        <v>777</v>
      </c>
      <c r="F761" t="b">
        <v>1</v>
      </c>
      <c r="G761" t="str">
        <f>HYPERLINK("https://www.google.com/maps/search/?api=1&amp;query=24.73015142,46.79506593", "View Map")</f>
        <v>View Map</v>
      </c>
    </row>
    <row r="762" spans="1:7" x14ac:dyDescent="0.3">
      <c r="A762" t="s">
        <v>1302</v>
      </c>
      <c r="B762" t="s">
        <v>1303</v>
      </c>
      <c r="C762" t="s">
        <v>9</v>
      </c>
      <c r="D762" t="s">
        <v>10</v>
      </c>
      <c r="E762">
        <v>777</v>
      </c>
      <c r="F762" t="b">
        <v>1</v>
      </c>
      <c r="G762" t="str">
        <f>HYPERLINK("https://www.google.com/maps/search/?api=1&amp;query=24.64942153,46.70695369", "View Map")</f>
        <v>View Map</v>
      </c>
    </row>
    <row r="763" spans="1:7" x14ac:dyDescent="0.3">
      <c r="A763" t="s">
        <v>1304</v>
      </c>
      <c r="B763" t="s">
        <v>1305</v>
      </c>
      <c r="C763" t="s">
        <v>9</v>
      </c>
      <c r="D763" t="s">
        <v>10</v>
      </c>
      <c r="E763">
        <v>777</v>
      </c>
      <c r="F763" t="b">
        <v>1</v>
      </c>
      <c r="G763" t="str">
        <f>HYPERLINK("https://www.google.com/maps/search/?api=1&amp;query=24.78943627,46.74272561", "View Map")</f>
        <v>View Map</v>
      </c>
    </row>
    <row r="764" spans="1:7" x14ac:dyDescent="0.3">
      <c r="A764" t="s">
        <v>1306</v>
      </c>
      <c r="B764" t="s">
        <v>1307</v>
      </c>
      <c r="C764" t="s">
        <v>9</v>
      </c>
      <c r="D764" t="s">
        <v>10</v>
      </c>
      <c r="E764">
        <v>776</v>
      </c>
      <c r="F764" t="b">
        <v>1</v>
      </c>
      <c r="G764" t="str">
        <f>HYPERLINK("https://www.google.com/maps/search/?api=1&amp;query=24.71843199,46.85317115", "View Map")</f>
        <v>View Map</v>
      </c>
    </row>
    <row r="765" spans="1:7" x14ac:dyDescent="0.3">
      <c r="A765" t="s">
        <v>415</v>
      </c>
      <c r="B765" t="s">
        <v>1308</v>
      </c>
      <c r="C765" t="s">
        <v>9</v>
      </c>
      <c r="D765" t="s">
        <v>154</v>
      </c>
      <c r="E765">
        <v>776</v>
      </c>
      <c r="F765" t="b">
        <v>1</v>
      </c>
      <c r="G765" t="str">
        <f>HYPERLINK("https://www.google.com/maps/search/?api=1&amp;query=24.60020806,46.7691024", "View Map")</f>
        <v>View Map</v>
      </c>
    </row>
    <row r="766" spans="1:7" x14ac:dyDescent="0.3">
      <c r="A766" t="s">
        <v>1309</v>
      </c>
      <c r="B766" t="s">
        <v>1310</v>
      </c>
      <c r="C766" t="s">
        <v>9</v>
      </c>
      <c r="D766" t="s">
        <v>10</v>
      </c>
      <c r="E766">
        <v>775</v>
      </c>
      <c r="F766" t="b">
        <v>1</v>
      </c>
      <c r="G766" t="str">
        <f>HYPERLINK("https://www.google.com/maps/search/?api=1&amp;query=24.71092091,46.83455047", "View Map")</f>
        <v>View Map</v>
      </c>
    </row>
    <row r="767" spans="1:7" x14ac:dyDescent="0.3">
      <c r="A767" t="s">
        <v>1311</v>
      </c>
      <c r="B767" t="s">
        <v>1312</v>
      </c>
      <c r="C767" t="s">
        <v>9</v>
      </c>
      <c r="D767" t="s">
        <v>10</v>
      </c>
      <c r="E767">
        <v>775</v>
      </c>
      <c r="F767" t="b">
        <v>1</v>
      </c>
      <c r="G767" t="str">
        <f>HYPERLINK("https://www.google.com/maps/search/?api=1&amp;query=24.63964814,46.78593666", "View Map")</f>
        <v>View Map</v>
      </c>
    </row>
    <row r="768" spans="1:7" x14ac:dyDescent="0.3">
      <c r="A768" t="s">
        <v>27</v>
      </c>
      <c r="B768" t="s">
        <v>1313</v>
      </c>
      <c r="C768" t="s">
        <v>9</v>
      </c>
      <c r="D768" t="s">
        <v>154</v>
      </c>
      <c r="E768">
        <v>774</v>
      </c>
      <c r="F768" t="b">
        <v>1</v>
      </c>
      <c r="G768" t="str">
        <f>HYPERLINK("https://www.google.com/maps/search/?api=1&amp;query=24.87142205,46.62866069", "View Map")</f>
        <v>View Map</v>
      </c>
    </row>
    <row r="769" spans="1:7" x14ac:dyDescent="0.3">
      <c r="A769" t="s">
        <v>1314</v>
      </c>
      <c r="B769" t="s">
        <v>1315</v>
      </c>
      <c r="C769" t="s">
        <v>9</v>
      </c>
      <c r="D769" t="s">
        <v>10</v>
      </c>
      <c r="E769">
        <v>774</v>
      </c>
      <c r="F769" t="b">
        <v>1</v>
      </c>
      <c r="G769" t="str">
        <f>HYPERLINK("https://www.google.com/maps/search/?api=1&amp;query=24.79519104,46.85067337", "View Map")</f>
        <v>View Map</v>
      </c>
    </row>
    <row r="770" spans="1:7" x14ac:dyDescent="0.3">
      <c r="A770" t="s">
        <v>27</v>
      </c>
      <c r="B770" t="s">
        <v>1316</v>
      </c>
      <c r="C770" t="s">
        <v>9</v>
      </c>
      <c r="D770" t="s">
        <v>10</v>
      </c>
      <c r="E770">
        <v>774</v>
      </c>
      <c r="F770" t="b">
        <v>1</v>
      </c>
      <c r="G770" t="str">
        <f>HYPERLINK("https://www.google.com/maps/search/?api=1&amp;query=24.83516737,46.67086883", "View Map")</f>
        <v>View Map</v>
      </c>
    </row>
    <row r="771" spans="1:7" x14ac:dyDescent="0.3">
      <c r="A771" t="s">
        <v>27</v>
      </c>
      <c r="B771" t="s">
        <v>1317</v>
      </c>
      <c r="C771" t="s">
        <v>9</v>
      </c>
      <c r="D771" t="s">
        <v>10</v>
      </c>
      <c r="E771">
        <v>771</v>
      </c>
      <c r="F771" t="b">
        <v>1</v>
      </c>
      <c r="G771" t="str">
        <f>HYPERLINK("https://www.google.com/maps/search/?api=1&amp;query=24.88587464,46.62777758", "View Map")</f>
        <v>View Map</v>
      </c>
    </row>
    <row r="772" spans="1:7" x14ac:dyDescent="0.3">
      <c r="A772" t="s">
        <v>1318</v>
      </c>
      <c r="B772" t="s">
        <v>1319</v>
      </c>
      <c r="C772" t="s">
        <v>9</v>
      </c>
      <c r="D772" t="s">
        <v>154</v>
      </c>
      <c r="E772">
        <v>771</v>
      </c>
      <c r="F772" t="b">
        <v>1</v>
      </c>
      <c r="G772" t="str">
        <f>HYPERLINK("https://www.google.com/maps/search/?api=1&amp;query=24.6351631,46.70024726", "View Map")</f>
        <v>View Map</v>
      </c>
    </row>
    <row r="773" spans="1:7" x14ac:dyDescent="0.3">
      <c r="A773" t="s">
        <v>19</v>
      </c>
      <c r="B773" t="s">
        <v>1320</v>
      </c>
      <c r="C773" t="s">
        <v>9</v>
      </c>
      <c r="D773" t="s">
        <v>10</v>
      </c>
      <c r="E773">
        <v>771</v>
      </c>
      <c r="F773" t="b">
        <v>1</v>
      </c>
      <c r="G773" t="str">
        <f>HYPERLINK("https://www.google.com/maps/search/?api=1&amp;query=24.81286174,46.68884191", "View Map")</f>
        <v>View Map</v>
      </c>
    </row>
    <row r="774" spans="1:7" x14ac:dyDescent="0.3">
      <c r="A774" t="s">
        <v>1321</v>
      </c>
      <c r="B774" t="s">
        <v>1322</v>
      </c>
      <c r="C774" t="s">
        <v>9</v>
      </c>
      <c r="D774" t="s">
        <v>10</v>
      </c>
      <c r="E774">
        <v>771</v>
      </c>
      <c r="F774" t="b">
        <v>1</v>
      </c>
      <c r="G774" t="str">
        <f>HYPERLINK("https://www.google.com/maps/search/?api=1&amp;query=24.5807133,46.63335888", "View Map")</f>
        <v>View Map</v>
      </c>
    </row>
    <row r="775" spans="1:7" x14ac:dyDescent="0.3">
      <c r="A775" t="s">
        <v>1323</v>
      </c>
      <c r="B775" t="s">
        <v>1324</v>
      </c>
      <c r="C775" t="s">
        <v>9</v>
      </c>
      <c r="D775" t="s">
        <v>10</v>
      </c>
      <c r="E775">
        <v>769</v>
      </c>
      <c r="F775" t="b">
        <v>1</v>
      </c>
      <c r="G775" t="str">
        <f>HYPERLINK("https://www.google.com/maps/search/?api=1&amp;query=24.62056377,46.54295943", "View Map")</f>
        <v>View Map</v>
      </c>
    </row>
    <row r="776" spans="1:7" x14ac:dyDescent="0.3">
      <c r="A776" t="s">
        <v>1325</v>
      </c>
      <c r="B776" t="s">
        <v>1326</v>
      </c>
      <c r="C776" t="s">
        <v>9</v>
      </c>
      <c r="D776" t="s">
        <v>154</v>
      </c>
      <c r="E776">
        <v>766</v>
      </c>
      <c r="F776" t="b">
        <v>1</v>
      </c>
      <c r="G776" t="str">
        <f>HYPERLINK("https://www.google.com/maps/search/?api=1&amp;query=24.73937506,46.70818929", "View Map")</f>
        <v>View Map</v>
      </c>
    </row>
    <row r="777" spans="1:7" x14ac:dyDescent="0.3">
      <c r="A777" t="s">
        <v>348</v>
      </c>
      <c r="B777" t="s">
        <v>1327</v>
      </c>
      <c r="C777" t="s">
        <v>9</v>
      </c>
      <c r="D777" t="s">
        <v>10</v>
      </c>
      <c r="E777">
        <v>766</v>
      </c>
      <c r="F777" t="b">
        <v>1</v>
      </c>
      <c r="G777" t="str">
        <f>HYPERLINK("https://www.google.com/maps/search/?api=1&amp;query=24.61662277,46.75131974", "View Map")</f>
        <v>View Map</v>
      </c>
    </row>
    <row r="778" spans="1:7" x14ac:dyDescent="0.3">
      <c r="A778" t="s">
        <v>159</v>
      </c>
      <c r="B778" t="s">
        <v>1328</v>
      </c>
      <c r="C778" t="s">
        <v>9</v>
      </c>
      <c r="D778" t="s">
        <v>154</v>
      </c>
      <c r="E778">
        <v>763</v>
      </c>
      <c r="F778" t="b">
        <v>1</v>
      </c>
      <c r="G778" t="str">
        <f>HYPERLINK("https://www.google.com/maps/search/?api=1&amp;query=24.55918816,46.53067916", "View Map")</f>
        <v>View Map</v>
      </c>
    </row>
    <row r="779" spans="1:7" x14ac:dyDescent="0.3">
      <c r="A779" t="s">
        <v>1329</v>
      </c>
      <c r="B779" t="s">
        <v>1330</v>
      </c>
      <c r="C779" t="s">
        <v>9</v>
      </c>
      <c r="D779" t="s">
        <v>10</v>
      </c>
      <c r="E779">
        <v>762</v>
      </c>
      <c r="F779" t="b">
        <v>1</v>
      </c>
      <c r="G779" t="str">
        <f>HYPERLINK("https://www.google.com/maps/search/?api=1&amp;query=24.59147088,46.68608856", "View Map")</f>
        <v>View Map</v>
      </c>
    </row>
    <row r="780" spans="1:7" x14ac:dyDescent="0.3">
      <c r="A780" t="s">
        <v>1331</v>
      </c>
      <c r="B780" t="s">
        <v>1332</v>
      </c>
      <c r="C780" t="s">
        <v>9</v>
      </c>
      <c r="D780" t="s">
        <v>10</v>
      </c>
      <c r="E780">
        <v>762</v>
      </c>
      <c r="F780" t="b">
        <v>1</v>
      </c>
      <c r="G780" t="str">
        <f>HYPERLINK("https://www.google.com/maps/search/?api=1&amp;query=24.66255947,46.62024682", "View Map")</f>
        <v>View Map</v>
      </c>
    </row>
    <row r="781" spans="1:7" x14ac:dyDescent="0.3">
      <c r="A781" t="s">
        <v>27</v>
      </c>
      <c r="B781" t="s">
        <v>1333</v>
      </c>
      <c r="C781" t="s">
        <v>9</v>
      </c>
      <c r="D781" t="s">
        <v>154</v>
      </c>
      <c r="E781">
        <v>761</v>
      </c>
      <c r="F781" t="b">
        <v>1</v>
      </c>
      <c r="G781" t="str">
        <f>HYPERLINK("https://www.google.com/maps/search/?api=1&amp;query=24.92525789,46.82341566", "View Map")</f>
        <v>View Map</v>
      </c>
    </row>
    <row r="782" spans="1:7" x14ac:dyDescent="0.3">
      <c r="A782" t="s">
        <v>1334</v>
      </c>
      <c r="B782" t="s">
        <v>1335</v>
      </c>
      <c r="C782" t="s">
        <v>9</v>
      </c>
      <c r="D782" t="s">
        <v>10</v>
      </c>
      <c r="E782">
        <v>761</v>
      </c>
      <c r="F782" t="b">
        <v>1</v>
      </c>
      <c r="G782" t="str">
        <f>HYPERLINK("https://www.google.com/maps/search/?api=1&amp;query=24.7675,46.5931", "View Map")</f>
        <v>View Map</v>
      </c>
    </row>
    <row r="783" spans="1:7" x14ac:dyDescent="0.3">
      <c r="A783" t="s">
        <v>1336</v>
      </c>
      <c r="B783" t="s">
        <v>1337</v>
      </c>
      <c r="C783" t="s">
        <v>9</v>
      </c>
      <c r="D783" t="s">
        <v>154</v>
      </c>
      <c r="E783">
        <v>761</v>
      </c>
      <c r="F783" t="b">
        <v>1</v>
      </c>
      <c r="G783" t="str">
        <f>HYPERLINK("https://www.google.com/maps/search/?api=1&amp;query=24.62332877,46.70473099", "View Map")</f>
        <v>View Map</v>
      </c>
    </row>
    <row r="784" spans="1:7" x14ac:dyDescent="0.3">
      <c r="A784" t="s">
        <v>1338</v>
      </c>
      <c r="B784" t="s">
        <v>1339</v>
      </c>
      <c r="C784" t="s">
        <v>9</v>
      </c>
      <c r="D784" t="s">
        <v>10</v>
      </c>
      <c r="E784">
        <v>760</v>
      </c>
      <c r="F784" t="b">
        <v>1</v>
      </c>
      <c r="G784" t="str">
        <f>HYPERLINK("https://www.google.com/maps/search/?api=1&amp;query=24.63565497,46.73478913", "View Map")</f>
        <v>View Map</v>
      </c>
    </row>
    <row r="785" spans="1:7" x14ac:dyDescent="0.3">
      <c r="A785" t="s">
        <v>129</v>
      </c>
      <c r="B785" t="s">
        <v>1340</v>
      </c>
      <c r="C785" t="s">
        <v>9</v>
      </c>
      <c r="D785" t="s">
        <v>154</v>
      </c>
      <c r="E785">
        <v>759</v>
      </c>
      <c r="F785" t="b">
        <v>1</v>
      </c>
      <c r="G785" t="str">
        <f>HYPERLINK("https://www.google.com/maps/search/?api=1&amp;query=24.70510695,46.66334575", "View Map")</f>
        <v>View Map</v>
      </c>
    </row>
    <row r="786" spans="1:7" x14ac:dyDescent="0.3">
      <c r="A786" t="s">
        <v>159</v>
      </c>
      <c r="B786" t="s">
        <v>1341</v>
      </c>
      <c r="C786" t="s">
        <v>9</v>
      </c>
      <c r="D786" t="s">
        <v>154</v>
      </c>
      <c r="E786">
        <v>757</v>
      </c>
      <c r="F786" t="b">
        <v>1</v>
      </c>
      <c r="G786" t="str">
        <f>HYPERLINK("https://www.google.com/maps/search/?api=1&amp;query=24.57209052,46.55457131", "View Map")</f>
        <v>View Map</v>
      </c>
    </row>
    <row r="787" spans="1:7" x14ac:dyDescent="0.3">
      <c r="A787" t="s">
        <v>1342</v>
      </c>
      <c r="B787" t="s">
        <v>1343</v>
      </c>
      <c r="C787" t="s">
        <v>9</v>
      </c>
      <c r="D787" t="s">
        <v>10</v>
      </c>
      <c r="E787">
        <v>756</v>
      </c>
      <c r="F787" t="b">
        <v>1</v>
      </c>
      <c r="G787" t="str">
        <f>HYPERLINK("https://www.google.com/maps/search/?api=1&amp;query=24.63845505,46.71939834", "View Map")</f>
        <v>View Map</v>
      </c>
    </row>
    <row r="788" spans="1:7" x14ac:dyDescent="0.3">
      <c r="A788" t="s">
        <v>1344</v>
      </c>
      <c r="B788" t="s">
        <v>1345</v>
      </c>
      <c r="C788" t="s">
        <v>9</v>
      </c>
      <c r="D788" t="s">
        <v>154</v>
      </c>
      <c r="E788">
        <v>754</v>
      </c>
      <c r="F788" t="b">
        <v>1</v>
      </c>
      <c r="G788" t="str">
        <f>HYPERLINK("https://www.google.com/maps/search/?api=1&amp;query=24.59711476,46.78066055", "View Map")</f>
        <v>View Map</v>
      </c>
    </row>
    <row r="789" spans="1:7" x14ac:dyDescent="0.3">
      <c r="A789" t="s">
        <v>27</v>
      </c>
      <c r="B789" t="s">
        <v>1346</v>
      </c>
      <c r="C789" t="s">
        <v>9</v>
      </c>
      <c r="D789" t="s">
        <v>154</v>
      </c>
      <c r="E789">
        <v>753</v>
      </c>
      <c r="F789" t="b">
        <v>1</v>
      </c>
      <c r="G789" t="str">
        <f>HYPERLINK("https://www.google.com/maps/search/?api=1&amp;query=24.92651732,46.81035049", "View Map")</f>
        <v>View Map</v>
      </c>
    </row>
    <row r="790" spans="1:7" x14ac:dyDescent="0.3">
      <c r="A790" t="s">
        <v>1347</v>
      </c>
      <c r="B790" t="s">
        <v>1348</v>
      </c>
      <c r="C790" t="s">
        <v>9</v>
      </c>
      <c r="D790" t="s">
        <v>10</v>
      </c>
      <c r="E790">
        <v>752</v>
      </c>
      <c r="F790" t="b">
        <v>1</v>
      </c>
      <c r="G790" t="str">
        <f>HYPERLINK("https://www.google.com/maps/search/?api=1&amp;query=24.67481433,46.64755393", "View Map")</f>
        <v>View Map</v>
      </c>
    </row>
    <row r="791" spans="1:7" x14ac:dyDescent="0.3">
      <c r="A791" t="s">
        <v>390</v>
      </c>
      <c r="B791" t="s">
        <v>1349</v>
      </c>
      <c r="C791" t="s">
        <v>9</v>
      </c>
      <c r="D791" t="s">
        <v>154</v>
      </c>
      <c r="E791">
        <v>752</v>
      </c>
      <c r="F791" t="b">
        <v>1</v>
      </c>
      <c r="G791" t="str">
        <f>HYPERLINK("https://www.google.com/maps/search/?api=1&amp;query=24.63892197,46.61882601", "View Map")</f>
        <v>View Map</v>
      </c>
    </row>
    <row r="792" spans="1:7" x14ac:dyDescent="0.3">
      <c r="A792" t="s">
        <v>1350</v>
      </c>
      <c r="B792" t="s">
        <v>1351</v>
      </c>
      <c r="C792" t="s">
        <v>9</v>
      </c>
      <c r="D792" t="s">
        <v>10</v>
      </c>
      <c r="E792">
        <v>752</v>
      </c>
      <c r="F792" t="b">
        <v>0</v>
      </c>
      <c r="G792" t="str">
        <f>HYPERLINK("https://www.google.com/maps/search/?api=1&amp;query=24.5739618,46.70193879", "View Map")</f>
        <v>View Map</v>
      </c>
    </row>
    <row r="793" spans="1:7" x14ac:dyDescent="0.3">
      <c r="A793" t="s">
        <v>1352</v>
      </c>
      <c r="B793" t="s">
        <v>1353</v>
      </c>
      <c r="C793" t="s">
        <v>9</v>
      </c>
      <c r="D793" t="s">
        <v>10</v>
      </c>
      <c r="E793">
        <v>752</v>
      </c>
      <c r="F793" t="b">
        <v>1</v>
      </c>
      <c r="G793" t="str">
        <f>HYPERLINK("https://www.google.com/maps/search/?api=1&amp;query=24.77552941,46.72267279", "View Map")</f>
        <v>View Map</v>
      </c>
    </row>
    <row r="794" spans="1:7" x14ac:dyDescent="0.3">
      <c r="A794" t="s">
        <v>27</v>
      </c>
      <c r="B794" t="s">
        <v>1354</v>
      </c>
      <c r="C794" t="s">
        <v>9</v>
      </c>
      <c r="D794" t="s">
        <v>10</v>
      </c>
      <c r="E794">
        <v>751</v>
      </c>
      <c r="F794" t="b">
        <v>1</v>
      </c>
      <c r="G794" t="str">
        <f>HYPERLINK("https://www.google.com/maps/search/?api=1&amp;query=24.74721727,46.62628386", "View Map")</f>
        <v>View Map</v>
      </c>
    </row>
    <row r="795" spans="1:7" x14ac:dyDescent="0.3">
      <c r="A795" t="s">
        <v>1355</v>
      </c>
      <c r="B795" t="s">
        <v>1356</v>
      </c>
      <c r="C795" t="s">
        <v>9</v>
      </c>
      <c r="D795" t="s">
        <v>10</v>
      </c>
      <c r="E795">
        <v>750</v>
      </c>
      <c r="F795" t="b">
        <v>0</v>
      </c>
      <c r="G795" t="str">
        <f>HYPERLINK("https://www.google.com/maps/search/?api=1&amp;query=24.56147312,46.68505211", "View Map")</f>
        <v>View Map</v>
      </c>
    </row>
    <row r="796" spans="1:7" x14ac:dyDescent="0.3">
      <c r="A796" t="s">
        <v>1357</v>
      </c>
      <c r="B796" t="s">
        <v>1358</v>
      </c>
      <c r="C796" t="s">
        <v>9</v>
      </c>
      <c r="D796" t="s">
        <v>154</v>
      </c>
      <c r="E796">
        <v>750</v>
      </c>
      <c r="F796" t="b">
        <v>1</v>
      </c>
      <c r="G796" t="str">
        <f>HYPERLINK("https://www.google.com/maps/search/?api=1&amp;query=24.57921983,46.66917462", "View Map")</f>
        <v>View Map</v>
      </c>
    </row>
    <row r="797" spans="1:7" x14ac:dyDescent="0.3">
      <c r="A797" t="s">
        <v>27</v>
      </c>
      <c r="B797" t="s">
        <v>1359</v>
      </c>
      <c r="C797" t="s">
        <v>9</v>
      </c>
      <c r="D797" t="s">
        <v>154</v>
      </c>
      <c r="E797">
        <v>749</v>
      </c>
      <c r="F797" t="b">
        <v>1</v>
      </c>
      <c r="G797" t="str">
        <f>HYPERLINK("https://www.google.com/maps/search/?api=1&amp;query=24.92334319,46.82037301", "View Map")</f>
        <v>View Map</v>
      </c>
    </row>
    <row r="798" spans="1:7" x14ac:dyDescent="0.3">
      <c r="A798" t="s">
        <v>1360</v>
      </c>
      <c r="B798" t="s">
        <v>1361</v>
      </c>
      <c r="C798" t="s">
        <v>9</v>
      </c>
      <c r="D798" t="s">
        <v>154</v>
      </c>
      <c r="E798">
        <v>749</v>
      </c>
      <c r="F798" t="b">
        <v>1</v>
      </c>
      <c r="G798" t="str">
        <f>HYPERLINK("https://www.google.com/maps/search/?api=1&amp;query=24.60350696,46.66371151", "View Map")</f>
        <v>View Map</v>
      </c>
    </row>
    <row r="799" spans="1:7" x14ac:dyDescent="0.3">
      <c r="A799" t="s">
        <v>1362</v>
      </c>
      <c r="B799" t="s">
        <v>1363</v>
      </c>
      <c r="C799" t="s">
        <v>9</v>
      </c>
      <c r="D799" t="s">
        <v>10</v>
      </c>
      <c r="E799">
        <v>748</v>
      </c>
      <c r="F799" t="b">
        <v>0</v>
      </c>
      <c r="G799" t="str">
        <f>HYPERLINK("https://www.google.com/maps/search/?api=1&amp;query=24.6918934,46.64110086", "View Map")</f>
        <v>View Map</v>
      </c>
    </row>
    <row r="800" spans="1:7" x14ac:dyDescent="0.3">
      <c r="A800" t="s">
        <v>229</v>
      </c>
      <c r="B800" t="s">
        <v>1364</v>
      </c>
      <c r="C800" t="s">
        <v>9</v>
      </c>
      <c r="D800" t="s">
        <v>10</v>
      </c>
      <c r="E800">
        <v>748</v>
      </c>
      <c r="F800" t="b">
        <v>1</v>
      </c>
      <c r="G800" t="str">
        <f>HYPERLINK("https://www.google.com/maps/search/?api=1&amp;query=24.76040933,46.80472769", "View Map")</f>
        <v>View Map</v>
      </c>
    </row>
    <row r="801" spans="1:7" x14ac:dyDescent="0.3">
      <c r="A801" t="s">
        <v>1365</v>
      </c>
      <c r="B801" t="s">
        <v>1366</v>
      </c>
      <c r="C801" t="s">
        <v>72</v>
      </c>
      <c r="D801" t="s">
        <v>154</v>
      </c>
      <c r="E801">
        <v>747</v>
      </c>
      <c r="F801" t="b">
        <v>0</v>
      </c>
      <c r="G801" t="str">
        <f>HYPERLINK("https://www.google.com/maps/search/?api=1&amp;query=24.72909,46.57294", "View Map")</f>
        <v>View Map</v>
      </c>
    </row>
    <row r="802" spans="1:7" x14ac:dyDescent="0.3">
      <c r="A802" t="s">
        <v>27</v>
      </c>
      <c r="B802" t="s">
        <v>1367</v>
      </c>
      <c r="C802" t="s">
        <v>72</v>
      </c>
      <c r="D802" t="s">
        <v>154</v>
      </c>
      <c r="E802">
        <v>747</v>
      </c>
      <c r="F802" t="b">
        <v>1</v>
      </c>
      <c r="G802" t="str">
        <f>HYPERLINK("https://www.google.com/maps/search/?api=1&amp;query=24.8227849,46.56191974", "View Map")</f>
        <v>View Map</v>
      </c>
    </row>
    <row r="803" spans="1:7" x14ac:dyDescent="0.3">
      <c r="A803" t="s">
        <v>1368</v>
      </c>
      <c r="B803" t="s">
        <v>1369</v>
      </c>
      <c r="C803" t="s">
        <v>9</v>
      </c>
      <c r="D803" t="s">
        <v>154</v>
      </c>
      <c r="E803">
        <v>747</v>
      </c>
      <c r="F803" t="b">
        <v>1</v>
      </c>
      <c r="G803" t="str">
        <f>HYPERLINK("https://www.google.com/maps/search/?api=1&amp;query=24.6397,46.7139", "View Map")</f>
        <v>View Map</v>
      </c>
    </row>
    <row r="804" spans="1:7" x14ac:dyDescent="0.3">
      <c r="A804" t="s">
        <v>1370</v>
      </c>
      <c r="B804" t="s">
        <v>1371</v>
      </c>
      <c r="C804" t="s">
        <v>9</v>
      </c>
      <c r="D804" t="s">
        <v>154</v>
      </c>
      <c r="E804">
        <v>746</v>
      </c>
      <c r="F804" t="b">
        <v>1</v>
      </c>
      <c r="G804" t="str">
        <f>HYPERLINK("https://www.google.com/maps/search/?api=1&amp;query=0.0,0.0", "View Map")</f>
        <v>View Map</v>
      </c>
    </row>
    <row r="805" spans="1:7" x14ac:dyDescent="0.3">
      <c r="A805" t="s">
        <v>1372</v>
      </c>
      <c r="B805" t="s">
        <v>1373</v>
      </c>
      <c r="C805" t="s">
        <v>9</v>
      </c>
      <c r="D805" t="s">
        <v>10</v>
      </c>
      <c r="E805">
        <v>745</v>
      </c>
      <c r="F805" t="b">
        <v>0</v>
      </c>
      <c r="G805" t="str">
        <f>HYPERLINK("https://www.google.com/maps/search/?api=1&amp;query=24.68751392,46.80119424", "View Map")</f>
        <v>View Map</v>
      </c>
    </row>
    <row r="806" spans="1:7" x14ac:dyDescent="0.3">
      <c r="A806" t="s">
        <v>1374</v>
      </c>
      <c r="B806" t="s">
        <v>1375</v>
      </c>
      <c r="C806" t="s">
        <v>72</v>
      </c>
      <c r="D806" t="s">
        <v>10</v>
      </c>
      <c r="E806">
        <v>744</v>
      </c>
      <c r="F806" t="b">
        <v>1</v>
      </c>
      <c r="G806" t="str">
        <f>HYPERLINK("https://www.google.com/maps/search/?api=1&amp;query=24.74458989,46.58083903", "View Map")</f>
        <v>View Map</v>
      </c>
    </row>
    <row r="807" spans="1:7" x14ac:dyDescent="0.3">
      <c r="A807" t="s">
        <v>1376</v>
      </c>
      <c r="B807" t="s">
        <v>1377</v>
      </c>
      <c r="C807" t="s">
        <v>9</v>
      </c>
      <c r="D807" t="s">
        <v>154</v>
      </c>
      <c r="E807">
        <v>744</v>
      </c>
      <c r="F807" t="b">
        <v>1</v>
      </c>
      <c r="G807" t="str">
        <f>HYPERLINK("https://www.google.com/maps/search/?api=1&amp;query=24.5363744,46.64409573", "View Map")</f>
        <v>View Map</v>
      </c>
    </row>
    <row r="808" spans="1:7" x14ac:dyDescent="0.3">
      <c r="A808" t="s">
        <v>341</v>
      </c>
      <c r="B808" t="s">
        <v>1378</v>
      </c>
      <c r="C808" t="s">
        <v>9</v>
      </c>
      <c r="D808" t="s">
        <v>154</v>
      </c>
      <c r="E808">
        <v>744</v>
      </c>
      <c r="F808" t="b">
        <v>1</v>
      </c>
      <c r="G808" t="str">
        <f>HYPERLINK("https://www.google.com/maps/search/?api=1&amp;query=24.70479326,46.77123185", "View Map")</f>
        <v>View Map</v>
      </c>
    </row>
    <row r="809" spans="1:7" x14ac:dyDescent="0.3">
      <c r="A809" t="s">
        <v>1379</v>
      </c>
      <c r="B809" t="s">
        <v>1380</v>
      </c>
      <c r="C809" t="s">
        <v>9</v>
      </c>
      <c r="D809" t="s">
        <v>154</v>
      </c>
      <c r="E809">
        <v>742</v>
      </c>
      <c r="F809" t="b">
        <v>1</v>
      </c>
      <c r="G809" t="str">
        <f>HYPERLINK("https://www.google.com/maps/search/?api=1&amp;query=24.69487303,46.80547083", "View Map")</f>
        <v>View Map</v>
      </c>
    </row>
    <row r="810" spans="1:7" x14ac:dyDescent="0.3">
      <c r="A810" t="s">
        <v>27</v>
      </c>
      <c r="B810" t="s">
        <v>1381</v>
      </c>
      <c r="C810" t="s">
        <v>9</v>
      </c>
      <c r="D810" t="s">
        <v>10</v>
      </c>
      <c r="E810">
        <v>742</v>
      </c>
      <c r="F810" t="b">
        <v>1</v>
      </c>
      <c r="G810" t="str">
        <f>HYPERLINK("https://www.google.com/maps/search/?api=1&amp;query=24.83819136,46.64715421", "View Map")</f>
        <v>View Map</v>
      </c>
    </row>
    <row r="811" spans="1:7" x14ac:dyDescent="0.3">
      <c r="A811" t="s">
        <v>1382</v>
      </c>
      <c r="B811" t="s">
        <v>1383</v>
      </c>
      <c r="C811" t="s">
        <v>9</v>
      </c>
      <c r="D811" t="s">
        <v>10</v>
      </c>
      <c r="E811">
        <v>741</v>
      </c>
      <c r="F811" t="b">
        <v>1</v>
      </c>
      <c r="G811" t="str">
        <f>HYPERLINK("https://www.google.com/maps/search/?api=1&amp;query=24.79937955,46.69492821", "View Map")</f>
        <v>View Map</v>
      </c>
    </row>
    <row r="812" spans="1:7" x14ac:dyDescent="0.3">
      <c r="A812" t="s">
        <v>1384</v>
      </c>
      <c r="B812" t="s">
        <v>1385</v>
      </c>
      <c r="C812" t="s">
        <v>9</v>
      </c>
      <c r="D812" t="s">
        <v>154</v>
      </c>
      <c r="E812">
        <v>740</v>
      </c>
      <c r="F812" t="b">
        <v>1</v>
      </c>
      <c r="G812" t="str">
        <f>HYPERLINK("https://www.google.com/maps/search/?api=1&amp;query=24.67468812,46.81850128", "View Map")</f>
        <v>View Map</v>
      </c>
    </row>
    <row r="813" spans="1:7" x14ac:dyDescent="0.3">
      <c r="A813" t="s">
        <v>397</v>
      </c>
      <c r="B813" t="s">
        <v>1386</v>
      </c>
      <c r="C813" t="s">
        <v>9</v>
      </c>
      <c r="D813" t="s">
        <v>10</v>
      </c>
      <c r="E813">
        <v>740</v>
      </c>
      <c r="F813" t="b">
        <v>1</v>
      </c>
      <c r="G813" t="str">
        <f>HYPERLINK("https://www.google.com/maps/search/?api=1&amp;query=24.72356668,46.80803843", "View Map")</f>
        <v>View Map</v>
      </c>
    </row>
    <row r="814" spans="1:7" x14ac:dyDescent="0.3">
      <c r="A814" t="s">
        <v>27</v>
      </c>
      <c r="B814" t="s">
        <v>1387</v>
      </c>
      <c r="C814" t="s">
        <v>9</v>
      </c>
      <c r="D814" t="s">
        <v>154</v>
      </c>
      <c r="E814">
        <v>739</v>
      </c>
      <c r="F814" t="b">
        <v>1</v>
      </c>
      <c r="G814" t="str">
        <f>HYPERLINK("https://www.google.com/maps/search/?api=1&amp;query=24.65252,46.52495", "View Map")</f>
        <v>View Map</v>
      </c>
    </row>
    <row r="815" spans="1:7" x14ac:dyDescent="0.3">
      <c r="A815" t="s">
        <v>1388</v>
      </c>
      <c r="B815" t="s">
        <v>1389</v>
      </c>
      <c r="C815" t="s">
        <v>9</v>
      </c>
      <c r="D815" t="s">
        <v>10</v>
      </c>
      <c r="E815">
        <v>738</v>
      </c>
      <c r="F815" t="b">
        <v>0</v>
      </c>
      <c r="G815" t="str">
        <f>HYPERLINK("https://www.google.com/maps/search/?api=1&amp;query=24.5448554,46.66719189", "View Map")</f>
        <v>View Map</v>
      </c>
    </row>
    <row r="816" spans="1:7" x14ac:dyDescent="0.3">
      <c r="A816" t="s">
        <v>27</v>
      </c>
      <c r="B816" t="s">
        <v>1390</v>
      </c>
      <c r="C816" t="s">
        <v>9</v>
      </c>
      <c r="D816" t="s">
        <v>10</v>
      </c>
      <c r="E816">
        <v>738</v>
      </c>
      <c r="F816" t="b">
        <v>1</v>
      </c>
      <c r="G816" t="str">
        <f>HYPERLINK("https://www.google.com/maps/search/?api=1&amp;query=24.78988799,46.69180053", "View Map")</f>
        <v>View Map</v>
      </c>
    </row>
    <row r="817" spans="1:7" x14ac:dyDescent="0.3">
      <c r="A817" t="s">
        <v>1391</v>
      </c>
      <c r="B817" t="s">
        <v>1392</v>
      </c>
      <c r="C817" t="s">
        <v>9</v>
      </c>
      <c r="D817" t="s">
        <v>10</v>
      </c>
      <c r="E817">
        <v>738</v>
      </c>
      <c r="F817" t="b">
        <v>0</v>
      </c>
      <c r="G817" t="str">
        <f>HYPERLINK("https://www.google.com/maps/search/?api=1&amp;query=24.71151969,46.81877496", "View Map")</f>
        <v>View Map</v>
      </c>
    </row>
    <row r="818" spans="1:7" x14ac:dyDescent="0.3">
      <c r="A818" t="s">
        <v>27</v>
      </c>
      <c r="B818" t="s">
        <v>1393</v>
      </c>
      <c r="C818" t="s">
        <v>72</v>
      </c>
      <c r="D818" t="s">
        <v>154</v>
      </c>
      <c r="E818">
        <v>738</v>
      </c>
      <c r="F818" t="b">
        <v>1</v>
      </c>
      <c r="G818" t="str">
        <f>HYPERLINK("https://www.google.com/maps/search/?api=1&amp;query=24.89832022,46.4406564", "View Map")</f>
        <v>View Map</v>
      </c>
    </row>
    <row r="819" spans="1:7" x14ac:dyDescent="0.3">
      <c r="A819" t="s">
        <v>27</v>
      </c>
      <c r="B819" t="s">
        <v>1394</v>
      </c>
      <c r="C819" t="s">
        <v>9</v>
      </c>
      <c r="D819" t="s">
        <v>154</v>
      </c>
      <c r="E819">
        <v>738</v>
      </c>
      <c r="F819" t="b">
        <v>1</v>
      </c>
      <c r="G819" t="str">
        <f>HYPERLINK("https://www.google.com/maps/search/?api=1&amp;query=0.0,0.0", "View Map")</f>
        <v>View Map</v>
      </c>
    </row>
    <row r="820" spans="1:7" x14ac:dyDescent="0.3">
      <c r="A820" t="s">
        <v>27</v>
      </c>
      <c r="B820" t="s">
        <v>1395</v>
      </c>
      <c r="C820" t="s">
        <v>9</v>
      </c>
      <c r="D820" t="s">
        <v>154</v>
      </c>
      <c r="E820">
        <v>737</v>
      </c>
      <c r="F820" t="b">
        <v>1</v>
      </c>
      <c r="G820" t="str">
        <f>HYPERLINK("https://www.google.com/maps/search/?api=1&amp;query=24.85478018,46.62643913", "View Map")</f>
        <v>View Map</v>
      </c>
    </row>
    <row r="821" spans="1:7" x14ac:dyDescent="0.3">
      <c r="A821" t="s">
        <v>1396</v>
      </c>
      <c r="B821" t="s">
        <v>1397</v>
      </c>
      <c r="C821" t="s">
        <v>9</v>
      </c>
      <c r="D821" t="s">
        <v>154</v>
      </c>
      <c r="E821">
        <v>737</v>
      </c>
      <c r="F821" t="b">
        <v>1</v>
      </c>
      <c r="G821" t="str">
        <f>HYPERLINK("https://www.google.com/maps/search/?api=1&amp;query=24.68996777,46.79271818", "View Map")</f>
        <v>View Map</v>
      </c>
    </row>
    <row r="822" spans="1:7" x14ac:dyDescent="0.3">
      <c r="A822" t="s">
        <v>1398</v>
      </c>
      <c r="B822" t="s">
        <v>1399</v>
      </c>
      <c r="C822" t="s">
        <v>9</v>
      </c>
      <c r="D822" t="s">
        <v>154</v>
      </c>
      <c r="E822">
        <v>736</v>
      </c>
      <c r="F822" t="b">
        <v>1</v>
      </c>
      <c r="G822" t="str">
        <f>HYPERLINK("https://www.google.com/maps/search/?api=1&amp;query=24.77985182,46.66452388", "View Map")</f>
        <v>View Map</v>
      </c>
    </row>
    <row r="823" spans="1:7" x14ac:dyDescent="0.3">
      <c r="A823" t="s">
        <v>1400</v>
      </c>
      <c r="B823" t="s">
        <v>1401</v>
      </c>
      <c r="C823" t="s">
        <v>9</v>
      </c>
      <c r="D823" t="s">
        <v>10</v>
      </c>
      <c r="E823">
        <v>736</v>
      </c>
      <c r="F823" t="b">
        <v>1</v>
      </c>
      <c r="G823" t="str">
        <f>HYPERLINK("https://www.google.com/maps/search/?api=1&amp;query=24.62082927,46.68125453", "View Map")</f>
        <v>View Map</v>
      </c>
    </row>
    <row r="824" spans="1:7" x14ac:dyDescent="0.3">
      <c r="A824" t="s">
        <v>1402</v>
      </c>
      <c r="B824" t="s">
        <v>1403</v>
      </c>
      <c r="C824" t="s">
        <v>9</v>
      </c>
      <c r="D824" t="s">
        <v>154</v>
      </c>
      <c r="E824">
        <v>735</v>
      </c>
      <c r="F824" t="b">
        <v>1</v>
      </c>
      <c r="G824" t="str">
        <f>HYPERLINK("https://www.google.com/maps/search/?api=1&amp;query=24.78376069,46.64279419", "View Map")</f>
        <v>View Map</v>
      </c>
    </row>
    <row r="825" spans="1:7" x14ac:dyDescent="0.3">
      <c r="A825" t="s">
        <v>1404</v>
      </c>
      <c r="B825" t="s">
        <v>1405</v>
      </c>
      <c r="C825" t="s">
        <v>9</v>
      </c>
      <c r="D825" t="s">
        <v>10</v>
      </c>
      <c r="E825">
        <v>735</v>
      </c>
      <c r="F825" t="b">
        <v>1</v>
      </c>
      <c r="G825" t="str">
        <f>HYPERLINK("https://www.google.com/maps/search/?api=1&amp;query=24.6807,46.61716", "View Map")</f>
        <v>View Map</v>
      </c>
    </row>
    <row r="826" spans="1:7" x14ac:dyDescent="0.3">
      <c r="A826" t="s">
        <v>929</v>
      </c>
      <c r="B826" t="s">
        <v>1406</v>
      </c>
      <c r="C826" t="s">
        <v>9</v>
      </c>
      <c r="D826" t="s">
        <v>10</v>
      </c>
      <c r="E826">
        <v>734</v>
      </c>
      <c r="F826" t="b">
        <v>0</v>
      </c>
      <c r="G826" t="str">
        <f>HYPERLINK("https://www.google.com/maps/search/?api=1&amp;query=24.81007493,46.60339878", "View Map")</f>
        <v>View Map</v>
      </c>
    </row>
    <row r="827" spans="1:7" x14ac:dyDescent="0.3">
      <c r="A827" t="s">
        <v>194</v>
      </c>
      <c r="B827" t="s">
        <v>1407</v>
      </c>
      <c r="C827" t="s">
        <v>9</v>
      </c>
      <c r="D827" t="s">
        <v>154</v>
      </c>
      <c r="E827">
        <v>734</v>
      </c>
      <c r="F827" t="b">
        <v>1</v>
      </c>
      <c r="G827" t="str">
        <f>HYPERLINK("https://www.google.com/maps/search/?api=1&amp;query=24.83112837,46.6431487", "View Map")</f>
        <v>View Map</v>
      </c>
    </row>
    <row r="828" spans="1:7" x14ac:dyDescent="0.3">
      <c r="A828" t="s">
        <v>1408</v>
      </c>
      <c r="B828" t="s">
        <v>1409</v>
      </c>
      <c r="C828" t="s">
        <v>9</v>
      </c>
      <c r="D828" t="s">
        <v>10</v>
      </c>
      <c r="E828">
        <v>734</v>
      </c>
      <c r="F828" t="b">
        <v>0</v>
      </c>
      <c r="G828" t="str">
        <f>HYPERLINK("https://www.google.com/maps/search/?api=1&amp;query=24.63163884,46.68222544", "View Map")</f>
        <v>View Map</v>
      </c>
    </row>
    <row r="829" spans="1:7" x14ac:dyDescent="0.3">
      <c r="A829" t="s">
        <v>1410</v>
      </c>
      <c r="B829" t="s">
        <v>1411</v>
      </c>
      <c r="C829" t="s">
        <v>9</v>
      </c>
      <c r="D829" t="s">
        <v>10</v>
      </c>
      <c r="E829">
        <v>733</v>
      </c>
      <c r="F829" t="b">
        <v>1</v>
      </c>
      <c r="G829" t="str">
        <f>HYPERLINK("https://www.google.com/maps/search/?api=1&amp;query=24.70905937,46.69910084", "View Map")</f>
        <v>View Map</v>
      </c>
    </row>
    <row r="830" spans="1:7" x14ac:dyDescent="0.3">
      <c r="A830" t="s">
        <v>1412</v>
      </c>
      <c r="B830" t="s">
        <v>1413</v>
      </c>
      <c r="C830" t="s">
        <v>72</v>
      </c>
      <c r="D830" t="s">
        <v>10</v>
      </c>
      <c r="E830">
        <v>732</v>
      </c>
      <c r="F830" t="b">
        <v>0</v>
      </c>
      <c r="G830" t="str">
        <f>HYPERLINK("https://www.google.com/maps/search/?api=1&amp;query=24.74833913,46.5328365", "View Map")</f>
        <v>View Map</v>
      </c>
    </row>
    <row r="831" spans="1:7" x14ac:dyDescent="0.3">
      <c r="A831" t="s">
        <v>1414</v>
      </c>
      <c r="B831" t="s">
        <v>1415</v>
      </c>
      <c r="C831" t="s">
        <v>72</v>
      </c>
      <c r="D831" t="s">
        <v>154</v>
      </c>
      <c r="E831">
        <v>732</v>
      </c>
      <c r="F831" t="b">
        <v>1</v>
      </c>
      <c r="G831" t="str">
        <f>HYPERLINK("https://www.google.com/maps/search/?api=1&amp;query=24.89538591,46.4466874", "View Map")</f>
        <v>View Map</v>
      </c>
    </row>
    <row r="832" spans="1:7" x14ac:dyDescent="0.3">
      <c r="A832" t="s">
        <v>1416</v>
      </c>
      <c r="B832" t="s">
        <v>1417</v>
      </c>
      <c r="C832" t="s">
        <v>9</v>
      </c>
      <c r="D832" t="s">
        <v>154</v>
      </c>
      <c r="E832">
        <v>732</v>
      </c>
      <c r="F832" t="b">
        <v>1</v>
      </c>
      <c r="G832" t="str">
        <f>HYPERLINK("https://www.google.com/maps/search/?api=1&amp;query=24.57151923,46.6304919", "View Map")</f>
        <v>View Map</v>
      </c>
    </row>
    <row r="833" spans="1:7" x14ac:dyDescent="0.3">
      <c r="A833" t="s">
        <v>1418</v>
      </c>
      <c r="B833" t="s">
        <v>1419</v>
      </c>
      <c r="C833" t="s">
        <v>9</v>
      </c>
      <c r="D833" t="s">
        <v>10</v>
      </c>
      <c r="E833">
        <v>731</v>
      </c>
      <c r="F833" t="b">
        <v>1</v>
      </c>
      <c r="G833" t="str">
        <f>HYPERLINK("https://www.google.com/maps/search/?api=1&amp;query=24.73160227,46.69385327", "View Map")</f>
        <v>View Map</v>
      </c>
    </row>
    <row r="834" spans="1:7" x14ac:dyDescent="0.3">
      <c r="A834" t="s">
        <v>1420</v>
      </c>
      <c r="B834" t="s">
        <v>1421</v>
      </c>
      <c r="C834" t="s">
        <v>9</v>
      </c>
      <c r="D834" t="s">
        <v>10</v>
      </c>
      <c r="E834">
        <v>731</v>
      </c>
      <c r="F834" t="b">
        <v>1</v>
      </c>
      <c r="G834" t="str">
        <f>HYPERLINK("https://www.google.com/maps/search/?api=1&amp;query=24.76315013,46.62212029", "View Map")</f>
        <v>View Map</v>
      </c>
    </row>
    <row r="835" spans="1:7" x14ac:dyDescent="0.3">
      <c r="A835" t="s">
        <v>1422</v>
      </c>
      <c r="B835" t="s">
        <v>1423</v>
      </c>
      <c r="C835" t="s">
        <v>9</v>
      </c>
      <c r="D835" t="s">
        <v>10</v>
      </c>
      <c r="E835">
        <v>731</v>
      </c>
      <c r="F835" t="b">
        <v>1</v>
      </c>
      <c r="G835" t="str">
        <f>HYPERLINK("https://www.google.com/maps/search/?api=1&amp;query=24.72752671,46.84777358", "View Map")</f>
        <v>View Map</v>
      </c>
    </row>
    <row r="836" spans="1:7" x14ac:dyDescent="0.3">
      <c r="A836" t="s">
        <v>1424</v>
      </c>
      <c r="B836" t="s">
        <v>1425</v>
      </c>
      <c r="C836" t="s">
        <v>9</v>
      </c>
      <c r="D836" t="s">
        <v>10</v>
      </c>
      <c r="E836">
        <v>731</v>
      </c>
      <c r="F836" t="b">
        <v>1</v>
      </c>
      <c r="G836" t="str">
        <f>HYPERLINK("https://www.google.com/maps/search/?api=1&amp;query=24.59597271,46.76104792", "View Map")</f>
        <v>View Map</v>
      </c>
    </row>
    <row r="837" spans="1:7" x14ac:dyDescent="0.3">
      <c r="A837" t="s">
        <v>1426</v>
      </c>
      <c r="B837" t="s">
        <v>1427</v>
      </c>
      <c r="C837" t="s">
        <v>9</v>
      </c>
      <c r="D837" t="s">
        <v>154</v>
      </c>
      <c r="E837">
        <v>730</v>
      </c>
      <c r="F837" t="b">
        <v>1</v>
      </c>
      <c r="G837" t="str">
        <f>HYPERLINK("https://www.google.com/maps/search/?api=1&amp;query=24.65238291,46.5725955", "View Map")</f>
        <v>View Map</v>
      </c>
    </row>
    <row r="838" spans="1:7" x14ac:dyDescent="0.3">
      <c r="A838" t="s">
        <v>1428</v>
      </c>
      <c r="B838" t="s">
        <v>1429</v>
      </c>
      <c r="C838" t="s">
        <v>9</v>
      </c>
      <c r="D838" t="s">
        <v>10</v>
      </c>
      <c r="E838">
        <v>729</v>
      </c>
      <c r="F838" t="b">
        <v>1</v>
      </c>
      <c r="G838" t="str">
        <f>HYPERLINK("https://www.google.com/maps/search/?api=1&amp;query=24.7043586,46.81605043", "View Map")</f>
        <v>View Map</v>
      </c>
    </row>
    <row r="839" spans="1:7" x14ac:dyDescent="0.3">
      <c r="A839" t="s">
        <v>27</v>
      </c>
      <c r="B839" t="s">
        <v>1430</v>
      </c>
      <c r="C839" t="s">
        <v>9</v>
      </c>
      <c r="D839" t="s">
        <v>154</v>
      </c>
      <c r="E839">
        <v>726</v>
      </c>
      <c r="F839" t="b">
        <v>1</v>
      </c>
      <c r="G839" t="str">
        <f>HYPERLINK("https://www.google.com/maps/search/?api=1&amp;query=24.78529326,46.71730123", "View Map")</f>
        <v>View Map</v>
      </c>
    </row>
    <row r="840" spans="1:7" x14ac:dyDescent="0.3">
      <c r="A840" t="s">
        <v>1431</v>
      </c>
      <c r="B840" t="s">
        <v>1432</v>
      </c>
      <c r="C840" t="s">
        <v>9</v>
      </c>
      <c r="D840" t="s">
        <v>154</v>
      </c>
      <c r="E840">
        <v>725</v>
      </c>
      <c r="F840" t="b">
        <v>1</v>
      </c>
      <c r="G840" t="str">
        <f>HYPERLINK("https://www.google.com/maps/search/?api=1&amp;query=24.68702498,46.78192438", "View Map")</f>
        <v>View Map</v>
      </c>
    </row>
    <row r="841" spans="1:7" x14ac:dyDescent="0.3">
      <c r="A841" t="s">
        <v>1433</v>
      </c>
      <c r="B841" t="s">
        <v>1434</v>
      </c>
      <c r="C841" t="s">
        <v>9</v>
      </c>
      <c r="D841" t="s">
        <v>10</v>
      </c>
      <c r="E841">
        <v>725</v>
      </c>
      <c r="F841" t="b">
        <v>1</v>
      </c>
      <c r="G841" t="str">
        <f>HYPERLINK("https://www.google.com/maps/search/?api=1&amp;query=24.58563855,46.65142248", "View Map")</f>
        <v>View Map</v>
      </c>
    </row>
    <row r="842" spans="1:7" x14ac:dyDescent="0.3">
      <c r="A842" t="s">
        <v>1435</v>
      </c>
      <c r="B842" t="s">
        <v>1436</v>
      </c>
      <c r="C842" t="s">
        <v>9</v>
      </c>
      <c r="D842" t="s">
        <v>10</v>
      </c>
      <c r="E842">
        <v>724</v>
      </c>
      <c r="F842" t="b">
        <v>1</v>
      </c>
      <c r="G842" t="str">
        <f>HYPERLINK("https://www.google.com/maps/search/?api=1&amp;query=24.57960877,46.77533728", "View Map")</f>
        <v>View Map</v>
      </c>
    </row>
    <row r="843" spans="1:7" x14ac:dyDescent="0.3">
      <c r="A843" t="s">
        <v>1437</v>
      </c>
      <c r="B843" t="s">
        <v>1438</v>
      </c>
      <c r="C843" t="s">
        <v>9</v>
      </c>
      <c r="D843" t="s">
        <v>10</v>
      </c>
      <c r="E843">
        <v>724</v>
      </c>
      <c r="F843" t="b">
        <v>1</v>
      </c>
      <c r="G843" t="str">
        <f>HYPERLINK("https://www.google.com/maps/search/?api=1&amp;query=24.75885056,46.67936433", "View Map")</f>
        <v>View Map</v>
      </c>
    </row>
    <row r="844" spans="1:7" x14ac:dyDescent="0.3">
      <c r="A844" t="s">
        <v>226</v>
      </c>
      <c r="B844" t="s">
        <v>1439</v>
      </c>
      <c r="C844" t="s">
        <v>9</v>
      </c>
      <c r="D844" t="s">
        <v>10</v>
      </c>
      <c r="E844">
        <v>724</v>
      </c>
      <c r="F844" t="b">
        <v>1</v>
      </c>
      <c r="G844" t="str">
        <f>HYPERLINK("https://www.google.com/maps/search/?api=1&amp;query=24.75987601,46.77954643", "View Map")</f>
        <v>View Map</v>
      </c>
    </row>
    <row r="845" spans="1:7" x14ac:dyDescent="0.3">
      <c r="A845" t="s">
        <v>27</v>
      </c>
      <c r="B845" t="s">
        <v>1440</v>
      </c>
      <c r="C845" t="s">
        <v>9</v>
      </c>
      <c r="D845" t="s">
        <v>154</v>
      </c>
      <c r="E845">
        <v>723</v>
      </c>
      <c r="F845" t="b">
        <v>1</v>
      </c>
      <c r="G845" t="str">
        <f>HYPERLINK("https://www.google.com/maps/search/?api=1&amp;query=24.8808,46.6236", "View Map")</f>
        <v>View Map</v>
      </c>
    </row>
    <row r="846" spans="1:7" x14ac:dyDescent="0.3">
      <c r="A846" t="s">
        <v>390</v>
      </c>
      <c r="B846" t="s">
        <v>1441</v>
      </c>
      <c r="C846" t="s">
        <v>9</v>
      </c>
      <c r="D846" t="s">
        <v>154</v>
      </c>
      <c r="E846">
        <v>722</v>
      </c>
      <c r="F846" t="b">
        <v>1</v>
      </c>
      <c r="G846" t="str">
        <f>HYPERLINK("https://www.google.com/maps/search/?api=1&amp;query=24.79928671,46.67671869", "View Map")</f>
        <v>View Map</v>
      </c>
    </row>
    <row r="847" spans="1:7" x14ac:dyDescent="0.3">
      <c r="A847" t="s">
        <v>27</v>
      </c>
      <c r="B847" t="s">
        <v>1442</v>
      </c>
      <c r="C847" t="s">
        <v>9</v>
      </c>
      <c r="D847" t="s">
        <v>154</v>
      </c>
      <c r="E847">
        <v>719</v>
      </c>
      <c r="F847" t="b">
        <v>1</v>
      </c>
      <c r="G847" t="str">
        <f>HYPERLINK("https://www.google.com/maps/search/?api=1&amp;query=24.83744612,46.88558924", "View Map")</f>
        <v>View Map</v>
      </c>
    </row>
    <row r="848" spans="1:7" x14ac:dyDescent="0.3">
      <c r="A848" t="s">
        <v>1443</v>
      </c>
      <c r="B848" t="s">
        <v>1444</v>
      </c>
      <c r="C848" t="s">
        <v>9</v>
      </c>
      <c r="D848" t="s">
        <v>154</v>
      </c>
      <c r="E848">
        <v>718</v>
      </c>
      <c r="F848" t="b">
        <v>1</v>
      </c>
      <c r="G848" t="str">
        <f>HYPERLINK("https://www.google.com/maps/search/?api=1&amp;query=24.64131627,46.72210545", "View Map")</f>
        <v>View Map</v>
      </c>
    </row>
    <row r="849" spans="1:7" x14ac:dyDescent="0.3">
      <c r="A849" t="s">
        <v>159</v>
      </c>
      <c r="B849" t="s">
        <v>1445</v>
      </c>
      <c r="C849" t="s">
        <v>72</v>
      </c>
      <c r="D849" t="s">
        <v>154</v>
      </c>
      <c r="E849">
        <v>717</v>
      </c>
      <c r="F849" t="b">
        <v>1</v>
      </c>
      <c r="G849" t="str">
        <f>HYPERLINK("https://www.google.com/maps/search/?api=1&amp;query=24.907252,46.429526", "View Map")</f>
        <v>View Map</v>
      </c>
    </row>
    <row r="850" spans="1:7" x14ac:dyDescent="0.3">
      <c r="A850" t="s">
        <v>1446</v>
      </c>
      <c r="B850" t="s">
        <v>1447</v>
      </c>
      <c r="C850" t="s">
        <v>9</v>
      </c>
      <c r="D850" t="s">
        <v>154</v>
      </c>
      <c r="E850">
        <v>716</v>
      </c>
      <c r="F850" t="b">
        <v>0</v>
      </c>
      <c r="G850" t="str">
        <f>HYPERLINK("https://www.google.com/maps/search/?api=1&amp;query=24.4880591,46.625285", "View Map")</f>
        <v>View Map</v>
      </c>
    </row>
    <row r="851" spans="1:7" x14ac:dyDescent="0.3">
      <c r="A851" t="s">
        <v>1448</v>
      </c>
      <c r="B851" t="s">
        <v>1449</v>
      </c>
      <c r="C851" t="s">
        <v>9</v>
      </c>
      <c r="D851" t="s">
        <v>10</v>
      </c>
      <c r="E851">
        <v>716</v>
      </c>
      <c r="F851" t="b">
        <v>1</v>
      </c>
      <c r="G851" t="str">
        <f>HYPERLINK("https://www.google.com/maps/search/?api=1&amp;query=24.68618231,46.84282116", "View Map")</f>
        <v>View Map</v>
      </c>
    </row>
    <row r="852" spans="1:7" x14ac:dyDescent="0.3">
      <c r="A852" t="s">
        <v>159</v>
      </c>
      <c r="B852" t="s">
        <v>1450</v>
      </c>
      <c r="C852" t="s">
        <v>9</v>
      </c>
      <c r="D852" t="s">
        <v>10</v>
      </c>
      <c r="E852">
        <v>716</v>
      </c>
      <c r="F852" t="b">
        <v>1</v>
      </c>
      <c r="G852" t="str">
        <f>HYPERLINK("https://www.google.com/maps/search/?api=1&amp;query=24.57958915,46.61910479", "View Map")</f>
        <v>View Map</v>
      </c>
    </row>
    <row r="853" spans="1:7" x14ac:dyDescent="0.3">
      <c r="A853" t="s">
        <v>1451</v>
      </c>
      <c r="B853" t="s">
        <v>1452</v>
      </c>
      <c r="C853" t="s">
        <v>9</v>
      </c>
      <c r="D853" t="s">
        <v>10</v>
      </c>
      <c r="E853">
        <v>715</v>
      </c>
      <c r="F853" t="b">
        <v>0</v>
      </c>
      <c r="G853" t="str">
        <f>HYPERLINK("https://www.google.com/maps/search/?api=1&amp;query=24.72366965,46.81964966", "View Map")</f>
        <v>View Map</v>
      </c>
    </row>
    <row r="854" spans="1:7" x14ac:dyDescent="0.3">
      <c r="A854" t="s">
        <v>27</v>
      </c>
      <c r="B854" t="s">
        <v>1453</v>
      </c>
      <c r="C854" t="s">
        <v>9</v>
      </c>
      <c r="D854" t="s">
        <v>154</v>
      </c>
      <c r="E854">
        <v>714</v>
      </c>
      <c r="F854" t="b">
        <v>1</v>
      </c>
      <c r="G854" t="str">
        <f>HYPERLINK("https://www.google.com/maps/search/?api=1&amp;query=24.64724593,46.49726664", "View Map")</f>
        <v>View Map</v>
      </c>
    </row>
    <row r="855" spans="1:7" x14ac:dyDescent="0.3">
      <c r="A855" t="s">
        <v>159</v>
      </c>
      <c r="B855" t="s">
        <v>1454</v>
      </c>
      <c r="C855" t="s">
        <v>72</v>
      </c>
      <c r="D855" t="s">
        <v>10</v>
      </c>
      <c r="E855">
        <v>714</v>
      </c>
      <c r="F855" t="b">
        <v>0</v>
      </c>
      <c r="G855" t="str">
        <f>HYPERLINK("https://www.google.com/maps/search/?api=1&amp;query=24.7572,46.5453", "View Map")</f>
        <v>View Map</v>
      </c>
    </row>
    <row r="856" spans="1:7" x14ac:dyDescent="0.3">
      <c r="A856" t="s">
        <v>1455</v>
      </c>
      <c r="B856" t="s">
        <v>1456</v>
      </c>
      <c r="C856" t="s">
        <v>9</v>
      </c>
      <c r="D856" t="s">
        <v>154</v>
      </c>
      <c r="E856">
        <v>714</v>
      </c>
      <c r="F856" t="b">
        <v>1</v>
      </c>
      <c r="G856" t="str">
        <f>HYPERLINK("https://www.google.com/maps/search/?api=1&amp;query=24.56559255,46.68669281", "View Map")</f>
        <v>View Map</v>
      </c>
    </row>
    <row r="857" spans="1:7" x14ac:dyDescent="0.3">
      <c r="A857" t="s">
        <v>1219</v>
      </c>
      <c r="B857" t="s">
        <v>1457</v>
      </c>
      <c r="C857" t="s">
        <v>9</v>
      </c>
      <c r="D857" t="s">
        <v>154</v>
      </c>
      <c r="E857">
        <v>714</v>
      </c>
      <c r="F857" t="b">
        <v>1</v>
      </c>
      <c r="G857" t="str">
        <f>HYPERLINK("https://www.google.com/maps/search/?api=1&amp;query=24.62934081,46.56368136", "View Map")</f>
        <v>View Map</v>
      </c>
    </row>
    <row r="858" spans="1:7" x14ac:dyDescent="0.3">
      <c r="A858" t="s">
        <v>159</v>
      </c>
      <c r="B858" t="s">
        <v>1458</v>
      </c>
      <c r="C858" t="s">
        <v>9</v>
      </c>
      <c r="D858" t="s">
        <v>154</v>
      </c>
      <c r="E858">
        <v>713</v>
      </c>
      <c r="F858" t="b">
        <v>1</v>
      </c>
      <c r="G858" t="str">
        <f>HYPERLINK("https://www.google.com/maps/search/?api=1&amp;query=24.557567,46.55944384", "View Map")</f>
        <v>View Map</v>
      </c>
    </row>
    <row r="859" spans="1:7" x14ac:dyDescent="0.3">
      <c r="A859" t="s">
        <v>1459</v>
      </c>
      <c r="B859" t="s">
        <v>1460</v>
      </c>
      <c r="C859" t="s">
        <v>9</v>
      </c>
      <c r="D859" t="s">
        <v>154</v>
      </c>
      <c r="E859">
        <v>710</v>
      </c>
      <c r="F859" t="b">
        <v>1</v>
      </c>
      <c r="G859" t="str">
        <f>HYPERLINK("https://www.google.com/maps/search/?api=1&amp;query=24.75983333,46.82809271", "View Map")</f>
        <v>View Map</v>
      </c>
    </row>
    <row r="860" spans="1:7" x14ac:dyDescent="0.3">
      <c r="A860" t="s">
        <v>1461</v>
      </c>
      <c r="B860" t="s">
        <v>1462</v>
      </c>
      <c r="C860" t="s">
        <v>9</v>
      </c>
      <c r="D860" t="s">
        <v>10</v>
      </c>
      <c r="E860">
        <v>709</v>
      </c>
      <c r="F860" t="b">
        <v>1</v>
      </c>
      <c r="G860" t="str">
        <f>HYPERLINK("https://www.google.com/maps/search/?api=1&amp;query=24.78967807,46.77506996", "View Map")</f>
        <v>View Map</v>
      </c>
    </row>
    <row r="861" spans="1:7" x14ac:dyDescent="0.3">
      <c r="A861" t="s">
        <v>1463</v>
      </c>
      <c r="B861" t="s">
        <v>1464</v>
      </c>
      <c r="C861" t="s">
        <v>9</v>
      </c>
      <c r="D861" t="s">
        <v>10</v>
      </c>
      <c r="E861">
        <v>709</v>
      </c>
      <c r="F861" t="b">
        <v>1</v>
      </c>
      <c r="G861" t="str">
        <f>HYPERLINK("https://www.google.com/maps/search/?api=1&amp;query=24.68012154,46.74429679", "View Map")</f>
        <v>View Map</v>
      </c>
    </row>
    <row r="862" spans="1:7" x14ac:dyDescent="0.3">
      <c r="A862" t="s">
        <v>1465</v>
      </c>
      <c r="B862" t="s">
        <v>1466</v>
      </c>
      <c r="C862" t="s">
        <v>72</v>
      </c>
      <c r="D862" t="s">
        <v>10</v>
      </c>
      <c r="E862">
        <v>708</v>
      </c>
      <c r="F862" t="b">
        <v>1</v>
      </c>
      <c r="G862" t="str">
        <f>HYPERLINK("https://www.google.com/maps/search/?api=1&amp;query=24.7462698,46.58998719", "View Map")</f>
        <v>View Map</v>
      </c>
    </row>
    <row r="863" spans="1:7" x14ac:dyDescent="0.3">
      <c r="A863" t="s">
        <v>1467</v>
      </c>
      <c r="B863" t="s">
        <v>1468</v>
      </c>
      <c r="C863" t="s">
        <v>9</v>
      </c>
      <c r="D863" t="s">
        <v>154</v>
      </c>
      <c r="E863">
        <v>707</v>
      </c>
      <c r="F863" t="b">
        <v>1</v>
      </c>
      <c r="G863" t="str">
        <f>HYPERLINK("https://www.google.com/maps/search/?api=1&amp;query=24.68583329,46.80294072", "View Map")</f>
        <v>View Map</v>
      </c>
    </row>
    <row r="864" spans="1:7" x14ac:dyDescent="0.3">
      <c r="A864" t="s">
        <v>1469</v>
      </c>
      <c r="B864" t="s">
        <v>1470</v>
      </c>
      <c r="C864" t="s">
        <v>9</v>
      </c>
      <c r="D864" t="s">
        <v>154</v>
      </c>
      <c r="E864">
        <v>706</v>
      </c>
      <c r="F864" t="b">
        <v>1</v>
      </c>
      <c r="G864" t="str">
        <f>HYPERLINK("https://www.google.com/maps/search/?api=1&amp;query=24.7681246,46.80888843", "View Map")</f>
        <v>View Map</v>
      </c>
    </row>
    <row r="865" spans="1:7" x14ac:dyDescent="0.3">
      <c r="A865" t="s">
        <v>27</v>
      </c>
      <c r="B865" t="s">
        <v>1471</v>
      </c>
      <c r="C865" t="s">
        <v>9</v>
      </c>
      <c r="D865" t="s">
        <v>154</v>
      </c>
      <c r="E865">
        <v>706</v>
      </c>
      <c r="F865" t="b">
        <v>1</v>
      </c>
      <c r="G865" t="str">
        <f>HYPERLINK("https://www.google.com/maps/search/?api=1&amp;query=24.85225717,46.77450288", "View Map")</f>
        <v>View Map</v>
      </c>
    </row>
    <row r="866" spans="1:7" x14ac:dyDescent="0.3">
      <c r="A866" t="s">
        <v>1472</v>
      </c>
      <c r="B866" t="s">
        <v>1473</v>
      </c>
      <c r="C866" t="s">
        <v>9</v>
      </c>
      <c r="D866" t="s">
        <v>10</v>
      </c>
      <c r="E866">
        <v>705</v>
      </c>
      <c r="F866" t="b">
        <v>0</v>
      </c>
      <c r="G866" t="str">
        <f>HYPERLINK("https://www.google.com/maps/search/?api=1&amp;query=24.62485412,46.69702755", "View Map")</f>
        <v>View Map</v>
      </c>
    </row>
    <row r="867" spans="1:7" x14ac:dyDescent="0.3">
      <c r="A867" t="s">
        <v>159</v>
      </c>
      <c r="B867" t="s">
        <v>1474</v>
      </c>
      <c r="C867" t="s">
        <v>9</v>
      </c>
      <c r="D867" t="s">
        <v>154</v>
      </c>
      <c r="E867">
        <v>704</v>
      </c>
      <c r="F867" t="b">
        <v>1</v>
      </c>
      <c r="G867" t="str">
        <f>HYPERLINK("https://www.google.com/maps/search/?api=1&amp;query=24.5603,46.5975", "View Map")</f>
        <v>View Map</v>
      </c>
    </row>
    <row r="868" spans="1:7" x14ac:dyDescent="0.3">
      <c r="A868" t="s">
        <v>194</v>
      </c>
      <c r="B868" t="s">
        <v>1475</v>
      </c>
      <c r="C868" t="s">
        <v>9</v>
      </c>
      <c r="D868" t="s">
        <v>154</v>
      </c>
      <c r="E868">
        <v>704</v>
      </c>
      <c r="F868" t="b">
        <v>1</v>
      </c>
      <c r="G868" t="str">
        <f>HYPERLINK("https://www.google.com/maps/search/?api=1&amp;query=24.7578456,46.84093192", "View Map")</f>
        <v>View Map</v>
      </c>
    </row>
    <row r="869" spans="1:7" x14ac:dyDescent="0.3">
      <c r="A869" t="s">
        <v>1476</v>
      </c>
      <c r="B869" t="s">
        <v>1477</v>
      </c>
      <c r="C869" t="s">
        <v>9</v>
      </c>
      <c r="D869" t="s">
        <v>10</v>
      </c>
      <c r="E869">
        <v>704</v>
      </c>
      <c r="F869" t="b">
        <v>1</v>
      </c>
      <c r="G869" t="str">
        <f>HYPERLINK("https://www.google.com/maps/search/?api=1&amp;query=24.58033104,46.59097735", "View Map")</f>
        <v>View Map</v>
      </c>
    </row>
    <row r="870" spans="1:7" x14ac:dyDescent="0.3">
      <c r="A870" t="s">
        <v>27</v>
      </c>
      <c r="B870" t="s">
        <v>1478</v>
      </c>
      <c r="C870" t="s">
        <v>9</v>
      </c>
      <c r="D870" t="s">
        <v>154</v>
      </c>
      <c r="E870">
        <v>703</v>
      </c>
      <c r="F870" t="b">
        <v>1</v>
      </c>
      <c r="G870" t="str">
        <f>HYPERLINK("https://www.google.com/maps/search/?api=1&amp;query=24.87035104,46.65307017", "View Map")</f>
        <v>View Map</v>
      </c>
    </row>
    <row r="871" spans="1:7" x14ac:dyDescent="0.3">
      <c r="A871" t="s">
        <v>27</v>
      </c>
      <c r="B871" t="s">
        <v>1479</v>
      </c>
      <c r="C871" t="s">
        <v>9</v>
      </c>
      <c r="D871" t="s">
        <v>154</v>
      </c>
      <c r="E871">
        <v>702</v>
      </c>
      <c r="F871" t="b">
        <v>1</v>
      </c>
      <c r="G871" t="str">
        <f>HYPERLINK("https://www.google.com/maps/search/?api=1&amp;query=24.79557939,46.61727517", "View Map")</f>
        <v>View Map</v>
      </c>
    </row>
    <row r="872" spans="1:7" x14ac:dyDescent="0.3">
      <c r="A872" t="s">
        <v>159</v>
      </c>
      <c r="B872" t="s">
        <v>1480</v>
      </c>
      <c r="C872" t="s">
        <v>9</v>
      </c>
      <c r="D872" t="s">
        <v>154</v>
      </c>
      <c r="E872">
        <v>700</v>
      </c>
      <c r="F872" t="b">
        <v>1</v>
      </c>
      <c r="G872" t="str">
        <f>HYPERLINK("https://www.google.com/maps/search/?api=1&amp;query=24.56355666,46.57525674", "View Map")</f>
        <v>View Map</v>
      </c>
    </row>
    <row r="873" spans="1:7" x14ac:dyDescent="0.3">
      <c r="A873" t="s">
        <v>194</v>
      </c>
      <c r="B873" t="s">
        <v>1481</v>
      </c>
      <c r="C873" t="s">
        <v>9</v>
      </c>
      <c r="D873" t="s">
        <v>10</v>
      </c>
      <c r="E873">
        <v>699</v>
      </c>
      <c r="F873" t="b">
        <v>1</v>
      </c>
      <c r="G873" t="str">
        <f>HYPERLINK("https://www.google.com/maps/search/?api=1&amp;query=24.82137947,46.75631389", "View Map")</f>
        <v>View Map</v>
      </c>
    </row>
    <row r="874" spans="1:7" x14ac:dyDescent="0.3">
      <c r="A874" t="s">
        <v>278</v>
      </c>
      <c r="B874" t="s">
        <v>1482</v>
      </c>
      <c r="C874" t="s">
        <v>9</v>
      </c>
      <c r="D874" t="s">
        <v>10</v>
      </c>
      <c r="E874">
        <v>699</v>
      </c>
      <c r="F874" t="b">
        <v>1</v>
      </c>
      <c r="G874" t="str">
        <f>HYPERLINK("https://www.google.com/maps/search/?api=1&amp;query=24.77350353,46.73638469", "View Map")</f>
        <v>View Map</v>
      </c>
    </row>
    <row r="875" spans="1:7" x14ac:dyDescent="0.3">
      <c r="A875" t="s">
        <v>1020</v>
      </c>
      <c r="B875" t="s">
        <v>1483</v>
      </c>
      <c r="C875" t="s">
        <v>9</v>
      </c>
      <c r="D875" t="s">
        <v>154</v>
      </c>
      <c r="E875">
        <v>699</v>
      </c>
      <c r="F875" t="b">
        <v>1</v>
      </c>
      <c r="G875" t="str">
        <f>HYPERLINK("https://www.google.com/maps/search/?api=1&amp;query=24.60298522,46.61640474", "View Map")</f>
        <v>View Map</v>
      </c>
    </row>
    <row r="876" spans="1:7" x14ac:dyDescent="0.3">
      <c r="A876" t="s">
        <v>1484</v>
      </c>
      <c r="B876" t="s">
        <v>1485</v>
      </c>
      <c r="C876" t="s">
        <v>9</v>
      </c>
      <c r="D876" t="s">
        <v>10</v>
      </c>
      <c r="E876">
        <v>698</v>
      </c>
      <c r="F876" t="b">
        <v>1</v>
      </c>
      <c r="G876" t="str">
        <f>HYPERLINK("https://www.google.com/maps/search/?api=1&amp;query=24.68529033,46.76381504", "View Map")</f>
        <v>View Map</v>
      </c>
    </row>
    <row r="877" spans="1:7" x14ac:dyDescent="0.3">
      <c r="A877" t="s">
        <v>1486</v>
      </c>
      <c r="B877" t="s">
        <v>1487</v>
      </c>
      <c r="C877" t="s">
        <v>72</v>
      </c>
      <c r="D877" t="s">
        <v>10</v>
      </c>
      <c r="E877">
        <v>696</v>
      </c>
      <c r="F877" t="b">
        <v>0</v>
      </c>
      <c r="G877" t="str">
        <f>HYPERLINK("https://www.google.com/maps/search/?api=1&amp;query=24.92436091,46.44171498", "View Map")</f>
        <v>View Map</v>
      </c>
    </row>
    <row r="878" spans="1:7" x14ac:dyDescent="0.3">
      <c r="A878" t="s">
        <v>1488</v>
      </c>
      <c r="B878" t="s">
        <v>1489</v>
      </c>
      <c r="C878" t="s">
        <v>9</v>
      </c>
      <c r="D878" t="s">
        <v>154</v>
      </c>
      <c r="E878">
        <v>696</v>
      </c>
      <c r="F878" t="b">
        <v>1</v>
      </c>
      <c r="G878" t="str">
        <f>HYPERLINK("https://www.google.com/maps/search/?api=1&amp;query=24.78050639,46.63293172", "View Map")</f>
        <v>View Map</v>
      </c>
    </row>
    <row r="879" spans="1:7" x14ac:dyDescent="0.3">
      <c r="A879" t="s">
        <v>27</v>
      </c>
      <c r="B879" t="s">
        <v>1490</v>
      </c>
      <c r="C879" t="s">
        <v>72</v>
      </c>
      <c r="D879" t="s">
        <v>154</v>
      </c>
      <c r="E879">
        <v>696</v>
      </c>
      <c r="F879" t="b">
        <v>1</v>
      </c>
      <c r="G879" t="str">
        <f>HYPERLINK("https://www.google.com/maps/search/?api=1&amp;query=24.755,46.5667", "View Map")</f>
        <v>View Map</v>
      </c>
    </row>
    <row r="880" spans="1:7" x14ac:dyDescent="0.3">
      <c r="A880" t="s">
        <v>27</v>
      </c>
      <c r="B880" t="s">
        <v>1491</v>
      </c>
      <c r="C880" t="s">
        <v>9</v>
      </c>
      <c r="D880" t="s">
        <v>10</v>
      </c>
      <c r="E880">
        <v>693</v>
      </c>
      <c r="F880" t="b">
        <v>1</v>
      </c>
      <c r="G880" t="str">
        <f>HYPERLINK("https://www.google.com/maps/search/?api=1&amp;query=24.86718285,46.83893943", "View Map")</f>
        <v>View Map</v>
      </c>
    </row>
    <row r="881" spans="1:7" x14ac:dyDescent="0.3">
      <c r="A881" t="s">
        <v>712</v>
      </c>
      <c r="B881" t="s">
        <v>1492</v>
      </c>
      <c r="C881" t="s">
        <v>9</v>
      </c>
      <c r="D881" t="s">
        <v>10</v>
      </c>
      <c r="E881">
        <v>693</v>
      </c>
      <c r="F881" t="b">
        <v>1</v>
      </c>
      <c r="G881" t="str">
        <f>HYPERLINK("https://www.google.com/maps/search/?api=1&amp;query=24.76053985,46.77389475", "View Map")</f>
        <v>View Map</v>
      </c>
    </row>
    <row r="882" spans="1:7" x14ac:dyDescent="0.3">
      <c r="A882" t="s">
        <v>1493</v>
      </c>
      <c r="B882" t="s">
        <v>1494</v>
      </c>
      <c r="C882" t="s">
        <v>9</v>
      </c>
      <c r="D882" t="s">
        <v>10</v>
      </c>
      <c r="E882">
        <v>693</v>
      </c>
      <c r="F882" t="b">
        <v>1</v>
      </c>
      <c r="G882" t="str">
        <f>HYPERLINK("https://www.google.com/maps/search/?api=1&amp;query=24.74877729,46.6816209", "View Map")</f>
        <v>View Map</v>
      </c>
    </row>
    <row r="883" spans="1:7" x14ac:dyDescent="0.3">
      <c r="A883" t="s">
        <v>19</v>
      </c>
      <c r="B883" t="s">
        <v>1495</v>
      </c>
      <c r="C883" t="s">
        <v>9</v>
      </c>
      <c r="D883" t="s">
        <v>154</v>
      </c>
      <c r="E883">
        <v>692</v>
      </c>
      <c r="F883" t="b">
        <v>1</v>
      </c>
      <c r="G883" t="str">
        <f>HYPERLINK("https://www.google.com/maps/search/?api=1&amp;query=24.81767629,46.65090162", "View Map")</f>
        <v>View Map</v>
      </c>
    </row>
    <row r="884" spans="1:7" x14ac:dyDescent="0.3">
      <c r="A884" t="s">
        <v>27</v>
      </c>
      <c r="B884" t="s">
        <v>1496</v>
      </c>
      <c r="C884" t="s">
        <v>9</v>
      </c>
      <c r="D884" t="s">
        <v>154</v>
      </c>
      <c r="E884">
        <v>692</v>
      </c>
      <c r="F884" t="b">
        <v>1</v>
      </c>
      <c r="G884" t="str">
        <f>HYPERLINK("https://www.google.com/maps/search/?api=1&amp;query=24.78706105,46.87565385", "View Map")</f>
        <v>View Map</v>
      </c>
    </row>
    <row r="885" spans="1:7" x14ac:dyDescent="0.3">
      <c r="A885" t="s">
        <v>27</v>
      </c>
      <c r="B885" t="s">
        <v>1497</v>
      </c>
      <c r="C885" t="s">
        <v>9</v>
      </c>
      <c r="D885" t="s">
        <v>10</v>
      </c>
      <c r="E885">
        <v>692</v>
      </c>
      <c r="F885" t="b">
        <v>0</v>
      </c>
      <c r="G885" t="str">
        <f>HYPERLINK("https://www.google.com/maps/search/?api=1&amp;query=24.82585976,46.57333273", "View Map")</f>
        <v>View Map</v>
      </c>
    </row>
    <row r="886" spans="1:7" x14ac:dyDescent="0.3">
      <c r="A886" t="s">
        <v>1259</v>
      </c>
      <c r="B886" t="s">
        <v>1498</v>
      </c>
      <c r="C886" t="s">
        <v>9</v>
      </c>
      <c r="D886" t="s">
        <v>10</v>
      </c>
      <c r="E886">
        <v>690</v>
      </c>
      <c r="F886" t="b">
        <v>1</v>
      </c>
      <c r="G886" t="str">
        <f>HYPERLINK("https://www.google.com/maps/search/?api=1&amp;query=24.79597795,46.70048079", "View Map")</f>
        <v>View Map</v>
      </c>
    </row>
    <row r="887" spans="1:7" x14ac:dyDescent="0.3">
      <c r="A887" t="s">
        <v>1499</v>
      </c>
      <c r="B887" t="s">
        <v>1500</v>
      </c>
      <c r="C887" t="s">
        <v>9</v>
      </c>
      <c r="D887" t="s">
        <v>154</v>
      </c>
      <c r="E887">
        <v>690</v>
      </c>
      <c r="F887" t="b">
        <v>1</v>
      </c>
      <c r="G887" t="str">
        <f>HYPERLINK("https://www.google.com/maps/search/?api=1&amp;query=24.74466858,46.64722074", "View Map")</f>
        <v>View Map</v>
      </c>
    </row>
    <row r="888" spans="1:7" x14ac:dyDescent="0.3">
      <c r="A888" t="s">
        <v>27</v>
      </c>
      <c r="B888" t="s">
        <v>1501</v>
      </c>
      <c r="C888" t="s">
        <v>9</v>
      </c>
      <c r="D888" t="s">
        <v>154</v>
      </c>
      <c r="E888">
        <v>690</v>
      </c>
      <c r="F888" t="b">
        <v>1</v>
      </c>
      <c r="G888" t="str">
        <f>HYPERLINK("https://www.google.com/maps/search/?api=1&amp;query=24.70226648,46.66692736", "View Map")</f>
        <v>View Map</v>
      </c>
    </row>
    <row r="889" spans="1:7" x14ac:dyDescent="0.3">
      <c r="A889" t="s">
        <v>27</v>
      </c>
      <c r="B889" t="s">
        <v>1502</v>
      </c>
      <c r="C889" t="s">
        <v>9</v>
      </c>
      <c r="D889" t="s">
        <v>10</v>
      </c>
      <c r="E889">
        <v>689</v>
      </c>
      <c r="F889" t="b">
        <v>1</v>
      </c>
      <c r="G889" t="str">
        <f>HYPERLINK("https://www.google.com/maps/search/?api=1&amp;query=24.83112837,46.6431487", "View Map")</f>
        <v>View Map</v>
      </c>
    </row>
    <row r="890" spans="1:7" x14ac:dyDescent="0.3">
      <c r="A890" t="s">
        <v>27</v>
      </c>
      <c r="B890" t="s">
        <v>1503</v>
      </c>
      <c r="C890" t="s">
        <v>9</v>
      </c>
      <c r="D890" t="s">
        <v>154</v>
      </c>
      <c r="E890">
        <v>688</v>
      </c>
      <c r="F890" t="b">
        <v>1</v>
      </c>
      <c r="G890" t="str">
        <f>HYPERLINK("https://www.google.com/maps/search/?api=1&amp;query=24.5596323,46.8080934", "View Map")</f>
        <v>View Map</v>
      </c>
    </row>
    <row r="891" spans="1:7" x14ac:dyDescent="0.3">
      <c r="A891" t="s">
        <v>1504</v>
      </c>
      <c r="B891" t="s">
        <v>1505</v>
      </c>
      <c r="C891" t="s">
        <v>9</v>
      </c>
      <c r="D891" t="s">
        <v>154</v>
      </c>
      <c r="E891">
        <v>688</v>
      </c>
      <c r="F891" t="b">
        <v>1</v>
      </c>
      <c r="G891" t="str">
        <f>HYPERLINK("https://www.google.com/maps/search/?api=1&amp;query=24.63539422,46.72565958", "View Map")</f>
        <v>View Map</v>
      </c>
    </row>
    <row r="892" spans="1:7" x14ac:dyDescent="0.3">
      <c r="A892" t="s">
        <v>1506</v>
      </c>
      <c r="B892" t="s">
        <v>1507</v>
      </c>
      <c r="C892" t="s">
        <v>9</v>
      </c>
      <c r="D892" t="s">
        <v>10</v>
      </c>
      <c r="E892">
        <v>687</v>
      </c>
      <c r="F892" t="b">
        <v>1</v>
      </c>
      <c r="G892" t="str">
        <f>HYPERLINK("https://www.google.com/maps/search/?api=1&amp;query=24.66639,46.87482", "View Map")</f>
        <v>View Map</v>
      </c>
    </row>
    <row r="893" spans="1:7" x14ac:dyDescent="0.3">
      <c r="A893" t="s">
        <v>27</v>
      </c>
      <c r="B893" t="s">
        <v>1508</v>
      </c>
      <c r="C893" t="s">
        <v>9</v>
      </c>
      <c r="D893" t="s">
        <v>154</v>
      </c>
      <c r="E893">
        <v>684</v>
      </c>
      <c r="F893" t="b">
        <v>1</v>
      </c>
      <c r="G893" t="str">
        <f>HYPERLINK("https://www.google.com/maps/search/?api=1&amp;query=24.80490542,46.61386904", "View Map")</f>
        <v>View Map</v>
      </c>
    </row>
    <row r="894" spans="1:7" x14ac:dyDescent="0.3">
      <c r="A894" t="s">
        <v>1509</v>
      </c>
      <c r="B894" t="s">
        <v>1510</v>
      </c>
      <c r="C894" t="s">
        <v>9</v>
      </c>
      <c r="D894" t="s">
        <v>10</v>
      </c>
      <c r="E894">
        <v>684</v>
      </c>
      <c r="F894" t="b">
        <v>1</v>
      </c>
      <c r="G894" t="str">
        <f>HYPERLINK("https://www.google.com/maps/search/?api=1&amp;query=24.62070451,46.74350791", "View Map")</f>
        <v>View Map</v>
      </c>
    </row>
    <row r="895" spans="1:7" x14ac:dyDescent="0.3">
      <c r="A895" t="s">
        <v>1511</v>
      </c>
      <c r="B895" t="s">
        <v>1512</v>
      </c>
      <c r="C895" t="s">
        <v>9</v>
      </c>
      <c r="D895" t="s">
        <v>10</v>
      </c>
      <c r="E895">
        <v>684</v>
      </c>
      <c r="F895" t="b">
        <v>1</v>
      </c>
      <c r="G895" t="str">
        <f>HYPERLINK("https://www.google.com/maps/search/?api=1&amp;query=24.7912034,46.68409053", "View Map")</f>
        <v>View Map</v>
      </c>
    </row>
    <row r="896" spans="1:7" x14ac:dyDescent="0.3">
      <c r="A896" t="s">
        <v>1513</v>
      </c>
      <c r="B896" t="s">
        <v>1514</v>
      </c>
      <c r="C896" t="s">
        <v>9</v>
      </c>
      <c r="D896" t="s">
        <v>10</v>
      </c>
      <c r="E896">
        <v>684</v>
      </c>
      <c r="F896" t="b">
        <v>1</v>
      </c>
      <c r="G896" t="str">
        <f>HYPERLINK("https://www.google.com/maps/search/?api=1&amp;query=24.80815684,46.64779408", "View Map")</f>
        <v>View Map</v>
      </c>
    </row>
    <row r="897" spans="1:7" x14ac:dyDescent="0.3">
      <c r="A897" t="s">
        <v>1115</v>
      </c>
      <c r="B897" t="s">
        <v>1515</v>
      </c>
      <c r="C897" t="s">
        <v>9</v>
      </c>
      <c r="D897" t="s">
        <v>154</v>
      </c>
      <c r="E897">
        <v>684</v>
      </c>
      <c r="F897" t="b">
        <v>1</v>
      </c>
      <c r="G897" t="str">
        <f>HYPERLINK("https://www.google.com/maps/search/?api=1&amp;query=24.58435564,46.76394926", "View Map")</f>
        <v>View Map</v>
      </c>
    </row>
    <row r="898" spans="1:7" x14ac:dyDescent="0.3">
      <c r="A898" t="s">
        <v>1516</v>
      </c>
      <c r="B898" t="s">
        <v>1517</v>
      </c>
      <c r="C898" t="s">
        <v>9</v>
      </c>
      <c r="D898" t="s">
        <v>10</v>
      </c>
      <c r="E898">
        <v>683</v>
      </c>
      <c r="F898" t="b">
        <v>1</v>
      </c>
      <c r="G898" t="str">
        <f>HYPERLINK("https://www.google.com/maps/search/?api=1&amp;query=24.80299941,46.71617693", "View Map")</f>
        <v>View Map</v>
      </c>
    </row>
    <row r="899" spans="1:7" x14ac:dyDescent="0.3">
      <c r="A899" t="s">
        <v>1518</v>
      </c>
      <c r="B899" t="s">
        <v>1519</v>
      </c>
      <c r="C899" t="s">
        <v>9</v>
      </c>
      <c r="D899" t="s">
        <v>154</v>
      </c>
      <c r="E899">
        <v>683</v>
      </c>
      <c r="F899" t="b">
        <v>1</v>
      </c>
      <c r="G899" t="str">
        <f>HYPERLINK("https://www.google.com/maps/search/?api=1&amp;query=24.74523184,46.79897044", "View Map")</f>
        <v>View Map</v>
      </c>
    </row>
    <row r="900" spans="1:7" x14ac:dyDescent="0.3">
      <c r="A900" t="s">
        <v>411</v>
      </c>
      <c r="B900" t="s">
        <v>1520</v>
      </c>
      <c r="C900" t="s">
        <v>9</v>
      </c>
      <c r="D900" t="s">
        <v>10</v>
      </c>
      <c r="E900">
        <v>683</v>
      </c>
      <c r="F900" t="b">
        <v>1</v>
      </c>
      <c r="G900" t="str">
        <f>HYPERLINK("https://www.google.com/maps/search/?api=1&amp;query=24.76573903,46.79209436", "View Map")</f>
        <v>View Map</v>
      </c>
    </row>
    <row r="901" spans="1:7" x14ac:dyDescent="0.3">
      <c r="A901" t="s">
        <v>1521</v>
      </c>
      <c r="B901" t="s">
        <v>1522</v>
      </c>
      <c r="C901" t="s">
        <v>9</v>
      </c>
      <c r="D901" t="s">
        <v>154</v>
      </c>
      <c r="E901">
        <v>682</v>
      </c>
      <c r="F901" t="b">
        <v>1</v>
      </c>
      <c r="G901" t="str">
        <f>HYPERLINK("https://www.google.com/maps/search/?api=1&amp;query=24.5419,46.7028", "View Map")</f>
        <v>View Map</v>
      </c>
    </row>
    <row r="902" spans="1:7" x14ac:dyDescent="0.3">
      <c r="A902" t="s">
        <v>27</v>
      </c>
      <c r="B902" t="s">
        <v>1523</v>
      </c>
      <c r="C902" t="s">
        <v>9</v>
      </c>
      <c r="D902" t="s">
        <v>154</v>
      </c>
      <c r="E902">
        <v>682</v>
      </c>
      <c r="F902" t="b">
        <v>1</v>
      </c>
      <c r="G902" t="str">
        <f>HYPERLINK("https://www.google.com/maps/search/?api=1&amp;query=24.81858521,46.89459462", "View Map")</f>
        <v>View Map</v>
      </c>
    </row>
    <row r="903" spans="1:7" x14ac:dyDescent="0.3">
      <c r="A903" t="s">
        <v>27</v>
      </c>
      <c r="B903" t="s">
        <v>1524</v>
      </c>
      <c r="C903" t="s">
        <v>9</v>
      </c>
      <c r="D903" t="s">
        <v>10</v>
      </c>
      <c r="E903">
        <v>681</v>
      </c>
      <c r="F903" t="b">
        <v>1</v>
      </c>
      <c r="G903" t="str">
        <f>HYPERLINK("https://www.google.com/maps/search/?api=1&amp;query=24.64422334,46.71817887", "View Map")</f>
        <v>View Map</v>
      </c>
    </row>
    <row r="904" spans="1:7" x14ac:dyDescent="0.3">
      <c r="A904" t="s">
        <v>27</v>
      </c>
      <c r="B904" t="s">
        <v>1525</v>
      </c>
      <c r="C904" t="s">
        <v>9</v>
      </c>
      <c r="D904" t="s">
        <v>154</v>
      </c>
      <c r="E904">
        <v>681</v>
      </c>
      <c r="F904" t="b">
        <v>1</v>
      </c>
      <c r="G904" t="str">
        <f>HYPERLINK("https://www.google.com/maps/search/?api=1&amp;query=24.74511633,46.75445286", "View Map")</f>
        <v>View Map</v>
      </c>
    </row>
    <row r="905" spans="1:7" x14ac:dyDescent="0.3">
      <c r="A905" t="s">
        <v>1526</v>
      </c>
      <c r="B905" t="s">
        <v>1527</v>
      </c>
      <c r="C905" t="s">
        <v>9</v>
      </c>
      <c r="D905" t="s">
        <v>154</v>
      </c>
      <c r="E905">
        <v>681</v>
      </c>
      <c r="F905" t="b">
        <v>1</v>
      </c>
      <c r="G905" t="str">
        <f>HYPERLINK("https://www.google.com/maps/search/?api=1&amp;query=24.57216899,46.66021177", "View Map")</f>
        <v>View Map</v>
      </c>
    </row>
    <row r="906" spans="1:7" x14ac:dyDescent="0.3">
      <c r="A906" t="s">
        <v>1528</v>
      </c>
      <c r="B906" t="s">
        <v>1529</v>
      </c>
      <c r="C906" t="s">
        <v>9</v>
      </c>
      <c r="D906" t="s">
        <v>154</v>
      </c>
      <c r="E906">
        <v>680</v>
      </c>
      <c r="F906" t="b">
        <v>1</v>
      </c>
      <c r="G906" t="str">
        <f>HYPERLINK("https://www.google.com/maps/search/?api=1&amp;query=24.74268216,46.84643578", "View Map")</f>
        <v>View Map</v>
      </c>
    </row>
    <row r="907" spans="1:7" x14ac:dyDescent="0.3">
      <c r="A907" t="s">
        <v>1530</v>
      </c>
      <c r="B907" t="s">
        <v>1531</v>
      </c>
      <c r="C907" t="s">
        <v>9</v>
      </c>
      <c r="D907" t="s">
        <v>154</v>
      </c>
      <c r="E907">
        <v>678</v>
      </c>
      <c r="F907" t="b">
        <v>1</v>
      </c>
      <c r="G907" t="str">
        <f>HYPERLINK("https://www.google.com/maps/search/?api=1&amp;query=24.62797559,46.70421321", "View Map")</f>
        <v>View Map</v>
      </c>
    </row>
    <row r="908" spans="1:7" x14ac:dyDescent="0.3">
      <c r="A908" t="s">
        <v>1532</v>
      </c>
      <c r="B908" t="s">
        <v>1533</v>
      </c>
      <c r="C908" t="s">
        <v>9</v>
      </c>
      <c r="D908" t="s">
        <v>10</v>
      </c>
      <c r="E908">
        <v>678</v>
      </c>
      <c r="F908" t="b">
        <v>1</v>
      </c>
      <c r="G908" t="str">
        <f>HYPERLINK("https://www.google.com/maps/search/?api=1&amp;query=24.6907496,46.79423356", "View Map")</f>
        <v>View Map</v>
      </c>
    </row>
    <row r="909" spans="1:7" x14ac:dyDescent="0.3">
      <c r="A909" t="s">
        <v>1534</v>
      </c>
      <c r="B909" t="s">
        <v>1535</v>
      </c>
      <c r="C909" t="s">
        <v>9</v>
      </c>
      <c r="D909" t="s">
        <v>10</v>
      </c>
      <c r="E909">
        <v>677</v>
      </c>
      <c r="F909" t="b">
        <v>1</v>
      </c>
      <c r="G909" t="str">
        <f>HYPERLINK("https://www.google.com/maps/search/?api=1&amp;query=24.6818563,46.76009502", "View Map")</f>
        <v>View Map</v>
      </c>
    </row>
    <row r="910" spans="1:7" x14ac:dyDescent="0.3">
      <c r="A910" t="s">
        <v>27</v>
      </c>
      <c r="B910" t="s">
        <v>1536</v>
      </c>
      <c r="C910" t="s">
        <v>9</v>
      </c>
      <c r="D910" t="s">
        <v>154</v>
      </c>
      <c r="E910">
        <v>677</v>
      </c>
      <c r="F910" t="b">
        <v>1</v>
      </c>
      <c r="G910" t="str">
        <f>HYPERLINK("https://www.google.com/maps/search/?api=1&amp;query=24.82068267,46.80123932", "View Map")</f>
        <v>View Map</v>
      </c>
    </row>
    <row r="911" spans="1:7" x14ac:dyDescent="0.3">
      <c r="A911" t="s">
        <v>27</v>
      </c>
      <c r="B911" t="s">
        <v>1537</v>
      </c>
      <c r="C911" t="s">
        <v>9</v>
      </c>
      <c r="D911" t="s">
        <v>10</v>
      </c>
      <c r="E911">
        <v>676</v>
      </c>
      <c r="F911" t="b">
        <v>1</v>
      </c>
      <c r="G911" t="str">
        <f>HYPERLINK("https://www.google.com/maps/search/?api=1&amp;query=24.8933,46.6367", "View Map")</f>
        <v>View Map</v>
      </c>
    </row>
    <row r="912" spans="1:7" x14ac:dyDescent="0.3">
      <c r="A912" t="s">
        <v>27</v>
      </c>
      <c r="B912" t="s">
        <v>1538</v>
      </c>
      <c r="C912" t="s">
        <v>9</v>
      </c>
      <c r="D912" t="s">
        <v>10</v>
      </c>
      <c r="E912">
        <v>676</v>
      </c>
      <c r="F912" t="b">
        <v>1</v>
      </c>
      <c r="G912" t="str">
        <f>HYPERLINK("https://www.google.com/maps/search/?api=1&amp;query=24.88638,46.60249", "View Map")</f>
        <v>View Map</v>
      </c>
    </row>
    <row r="913" spans="1:7" x14ac:dyDescent="0.3">
      <c r="A913" t="s">
        <v>27</v>
      </c>
      <c r="B913" t="s">
        <v>1539</v>
      </c>
      <c r="C913" t="s">
        <v>9</v>
      </c>
      <c r="D913" t="s">
        <v>154</v>
      </c>
      <c r="E913">
        <v>675</v>
      </c>
      <c r="F913" t="b">
        <v>1</v>
      </c>
      <c r="G913" t="str">
        <f>HYPERLINK("https://www.google.com/maps/search/?api=1&amp;query=24.92525789,46.82341566", "View Map")</f>
        <v>View Map</v>
      </c>
    </row>
    <row r="914" spans="1:7" x14ac:dyDescent="0.3">
      <c r="A914" t="s">
        <v>1540</v>
      </c>
      <c r="B914" t="s">
        <v>1541</v>
      </c>
      <c r="C914" t="s">
        <v>9</v>
      </c>
      <c r="D914" t="s">
        <v>154</v>
      </c>
      <c r="E914">
        <v>673</v>
      </c>
      <c r="F914" t="b">
        <v>1</v>
      </c>
      <c r="G914" t="str">
        <f>HYPERLINK("https://www.google.com/maps/search/?api=1&amp;query=24.65812398,46.73017836", "View Map")</f>
        <v>View Map</v>
      </c>
    </row>
    <row r="915" spans="1:7" x14ac:dyDescent="0.3">
      <c r="A915" t="s">
        <v>27</v>
      </c>
      <c r="B915" t="s">
        <v>1542</v>
      </c>
      <c r="C915" t="s">
        <v>9</v>
      </c>
      <c r="D915" t="s">
        <v>10</v>
      </c>
      <c r="E915">
        <v>673</v>
      </c>
      <c r="F915" t="b">
        <v>1</v>
      </c>
      <c r="G915" t="str">
        <f>HYPERLINK("https://www.google.com/maps/search/?api=1&amp;query=24.64848249,46.7927488", "View Map")</f>
        <v>View Map</v>
      </c>
    </row>
    <row r="916" spans="1:7" x14ac:dyDescent="0.3">
      <c r="A916" t="s">
        <v>27</v>
      </c>
      <c r="B916" t="s">
        <v>1543</v>
      </c>
      <c r="C916" t="s">
        <v>9</v>
      </c>
      <c r="D916" t="s">
        <v>154</v>
      </c>
      <c r="E916">
        <v>672</v>
      </c>
      <c r="F916" t="b">
        <v>1</v>
      </c>
      <c r="G916" t="str">
        <f>HYPERLINK("https://www.google.com/maps/search/?api=1&amp;query=24.8855096,46.61893581", "View Map")</f>
        <v>View Map</v>
      </c>
    </row>
    <row r="917" spans="1:7" x14ac:dyDescent="0.3">
      <c r="A917" t="s">
        <v>1544</v>
      </c>
      <c r="B917" t="s">
        <v>1545</v>
      </c>
      <c r="C917" t="s">
        <v>9</v>
      </c>
      <c r="D917" t="s">
        <v>10</v>
      </c>
      <c r="E917">
        <v>671</v>
      </c>
      <c r="F917" t="b">
        <v>1</v>
      </c>
      <c r="G917" t="str">
        <f>HYPERLINK("https://www.google.com/maps/search/?api=1&amp;query=24.70161253,46.81505033", "View Map")</f>
        <v>View Map</v>
      </c>
    </row>
    <row r="918" spans="1:7" x14ac:dyDescent="0.3">
      <c r="A918" t="s">
        <v>1546</v>
      </c>
      <c r="B918" t="s">
        <v>1547</v>
      </c>
      <c r="C918" t="s">
        <v>9</v>
      </c>
      <c r="D918" t="s">
        <v>154</v>
      </c>
      <c r="E918">
        <v>671</v>
      </c>
      <c r="F918" t="b">
        <v>1</v>
      </c>
      <c r="G918" t="str">
        <f>HYPERLINK("https://www.google.com/maps/search/?api=1&amp;query=24.55238324,46.51014576", "View Map")</f>
        <v>View Map</v>
      </c>
    </row>
    <row r="919" spans="1:7" x14ac:dyDescent="0.3">
      <c r="A919" t="s">
        <v>1548</v>
      </c>
      <c r="B919" t="s">
        <v>1549</v>
      </c>
      <c r="C919" t="s">
        <v>9</v>
      </c>
      <c r="D919" t="s">
        <v>10</v>
      </c>
      <c r="E919">
        <v>671</v>
      </c>
      <c r="F919" t="b">
        <v>1</v>
      </c>
      <c r="G919" t="str">
        <f>HYPERLINK("https://www.google.com/maps/search/?api=1&amp;query=24.83693473,46.75207377", "View Map")</f>
        <v>View Map</v>
      </c>
    </row>
    <row r="920" spans="1:7" x14ac:dyDescent="0.3">
      <c r="A920" t="s">
        <v>27</v>
      </c>
      <c r="B920" t="s">
        <v>1550</v>
      </c>
      <c r="C920" t="s">
        <v>9</v>
      </c>
      <c r="D920" t="s">
        <v>10</v>
      </c>
      <c r="E920">
        <v>670</v>
      </c>
      <c r="F920" t="b">
        <v>1</v>
      </c>
      <c r="G920" t="str">
        <f>HYPERLINK("https://www.google.com/maps/search/?api=1&amp;query=24.75990983,46.80886356", "View Map")</f>
        <v>View Map</v>
      </c>
    </row>
    <row r="921" spans="1:7" x14ac:dyDescent="0.3">
      <c r="A921" t="s">
        <v>1551</v>
      </c>
      <c r="B921" t="s">
        <v>1552</v>
      </c>
      <c r="C921" t="s">
        <v>9</v>
      </c>
      <c r="D921" t="s">
        <v>10</v>
      </c>
      <c r="E921">
        <v>669</v>
      </c>
      <c r="F921" t="b">
        <v>1</v>
      </c>
      <c r="G921" t="str">
        <f>HYPERLINK("https://www.google.com/maps/search/?api=1&amp;query=24.73519123,46.79249913", "View Map")</f>
        <v>View Map</v>
      </c>
    </row>
    <row r="922" spans="1:7" x14ac:dyDescent="0.3">
      <c r="A922" t="s">
        <v>1553</v>
      </c>
      <c r="B922" t="s">
        <v>1554</v>
      </c>
      <c r="C922" t="s">
        <v>9</v>
      </c>
      <c r="D922" t="s">
        <v>10</v>
      </c>
      <c r="E922">
        <v>669</v>
      </c>
      <c r="F922" t="b">
        <v>1</v>
      </c>
      <c r="G922" t="str">
        <f>HYPERLINK("https://www.google.com/maps/search/?api=1&amp;query=24.6755305,46.73820465", "View Map")</f>
        <v>View Map</v>
      </c>
    </row>
    <row r="923" spans="1:7" x14ac:dyDescent="0.3">
      <c r="A923" t="s">
        <v>1555</v>
      </c>
      <c r="B923" t="s">
        <v>1556</v>
      </c>
      <c r="C923" t="s">
        <v>9</v>
      </c>
      <c r="D923" t="s">
        <v>154</v>
      </c>
      <c r="E923">
        <v>669</v>
      </c>
      <c r="F923" t="b">
        <v>1</v>
      </c>
      <c r="G923" t="str">
        <f>HYPERLINK("https://www.google.com/maps/search/?api=1&amp;query=24.77589205,46.80915846", "View Map")</f>
        <v>View Map</v>
      </c>
    </row>
    <row r="924" spans="1:7" x14ac:dyDescent="0.3">
      <c r="A924" t="s">
        <v>27</v>
      </c>
      <c r="B924" t="s">
        <v>1557</v>
      </c>
      <c r="C924" t="s">
        <v>9</v>
      </c>
      <c r="D924" t="s">
        <v>154</v>
      </c>
      <c r="E924">
        <v>669</v>
      </c>
      <c r="F924" t="b">
        <v>1</v>
      </c>
      <c r="G924" t="str">
        <f>HYPERLINK("https://www.google.com/maps/search/?api=1&amp;query=24.64570349,46.77105869", "View Map")</f>
        <v>View Map</v>
      </c>
    </row>
    <row r="925" spans="1:7" x14ac:dyDescent="0.3">
      <c r="A925" t="s">
        <v>159</v>
      </c>
      <c r="B925" t="s">
        <v>1558</v>
      </c>
      <c r="C925" t="s">
        <v>9</v>
      </c>
      <c r="D925" t="s">
        <v>10</v>
      </c>
      <c r="E925">
        <v>668</v>
      </c>
      <c r="F925" t="b">
        <v>1</v>
      </c>
      <c r="G925" t="str">
        <f>HYPERLINK("https://www.google.com/maps/search/?api=1&amp;query=24.5594289,46.54186244", "View Map")</f>
        <v>View Map</v>
      </c>
    </row>
    <row r="926" spans="1:7" x14ac:dyDescent="0.3">
      <c r="A926" t="s">
        <v>1559</v>
      </c>
      <c r="B926" t="s">
        <v>1560</v>
      </c>
      <c r="C926" t="s">
        <v>9</v>
      </c>
      <c r="D926" t="s">
        <v>10</v>
      </c>
      <c r="E926">
        <v>667</v>
      </c>
      <c r="F926" t="b">
        <v>1</v>
      </c>
      <c r="G926" t="str">
        <f>HYPERLINK("https://www.google.com/maps/search/?api=1&amp;query=24.56470211,46.78912401", "View Map")</f>
        <v>View Map</v>
      </c>
    </row>
    <row r="927" spans="1:7" x14ac:dyDescent="0.3">
      <c r="A927" t="s">
        <v>1561</v>
      </c>
      <c r="B927" t="s">
        <v>1562</v>
      </c>
      <c r="C927" t="s">
        <v>9</v>
      </c>
      <c r="D927" t="s">
        <v>10</v>
      </c>
      <c r="E927">
        <v>666</v>
      </c>
      <c r="F927" t="b">
        <v>1</v>
      </c>
      <c r="G927" t="str">
        <f>HYPERLINK("https://www.google.com/maps/search/?api=1&amp;query=24.78473086,46.80780761", "View Map")</f>
        <v>View Map</v>
      </c>
    </row>
    <row r="928" spans="1:7" x14ac:dyDescent="0.3">
      <c r="A928" t="s">
        <v>19</v>
      </c>
      <c r="B928" t="s">
        <v>1563</v>
      </c>
      <c r="C928" t="s">
        <v>9</v>
      </c>
      <c r="D928" t="s">
        <v>154</v>
      </c>
      <c r="E928">
        <v>666</v>
      </c>
      <c r="F928" t="b">
        <v>1</v>
      </c>
      <c r="G928" t="str">
        <f>HYPERLINK("https://www.google.com/maps/search/?api=1&amp;query=24.8319,46.6525", "View Map")</f>
        <v>View Map</v>
      </c>
    </row>
    <row r="929" spans="1:7" x14ac:dyDescent="0.3">
      <c r="A929" t="s">
        <v>390</v>
      </c>
      <c r="B929" t="s">
        <v>1564</v>
      </c>
      <c r="C929" t="s">
        <v>72</v>
      </c>
      <c r="D929" t="s">
        <v>10</v>
      </c>
      <c r="E929">
        <v>665</v>
      </c>
      <c r="F929" t="b">
        <v>1</v>
      </c>
      <c r="G929" t="str">
        <f>HYPERLINK("https://www.google.com/maps/search/?api=1&amp;query=24.74331904,46.57984013", "View Map")</f>
        <v>View Map</v>
      </c>
    </row>
    <row r="930" spans="1:7" x14ac:dyDescent="0.3">
      <c r="A930" t="s">
        <v>1565</v>
      </c>
      <c r="B930" t="s">
        <v>1566</v>
      </c>
      <c r="C930" t="s">
        <v>9</v>
      </c>
      <c r="D930" t="s">
        <v>154</v>
      </c>
      <c r="E930">
        <v>664</v>
      </c>
      <c r="F930" t="b">
        <v>1</v>
      </c>
      <c r="G930" t="str">
        <f>HYPERLINK("https://www.google.com/maps/search/?api=1&amp;query=24.62594388,46.69826527", "View Map")</f>
        <v>View Map</v>
      </c>
    </row>
    <row r="931" spans="1:7" x14ac:dyDescent="0.3">
      <c r="A931" t="s">
        <v>1567</v>
      </c>
      <c r="B931" t="s">
        <v>1568</v>
      </c>
      <c r="C931" t="s">
        <v>9</v>
      </c>
      <c r="D931" t="s">
        <v>154</v>
      </c>
      <c r="E931">
        <v>664</v>
      </c>
      <c r="F931" t="b">
        <v>1</v>
      </c>
      <c r="G931" t="str">
        <f>HYPERLINK("https://www.google.com/maps/search/?api=1&amp;query=24.65905346,46.80447859", "View Map")</f>
        <v>View Map</v>
      </c>
    </row>
    <row r="932" spans="1:7" x14ac:dyDescent="0.3">
      <c r="A932" t="s">
        <v>1569</v>
      </c>
      <c r="B932" t="s">
        <v>1570</v>
      </c>
      <c r="C932" t="s">
        <v>9</v>
      </c>
      <c r="D932" t="s">
        <v>154</v>
      </c>
      <c r="E932">
        <v>664</v>
      </c>
      <c r="F932" t="b">
        <v>1</v>
      </c>
      <c r="G932" t="str">
        <f>HYPERLINK("https://www.google.com/maps/search/?api=1&amp;query=24.61218068,46.69679777", "View Map")</f>
        <v>View Map</v>
      </c>
    </row>
    <row r="933" spans="1:7" x14ac:dyDescent="0.3">
      <c r="A933" t="s">
        <v>1571</v>
      </c>
      <c r="B933" t="s">
        <v>1572</v>
      </c>
      <c r="C933" t="s">
        <v>9</v>
      </c>
      <c r="D933" t="s">
        <v>154</v>
      </c>
      <c r="E933">
        <v>664</v>
      </c>
      <c r="F933" t="b">
        <v>1</v>
      </c>
      <c r="G933" t="str">
        <f>HYPERLINK("https://www.google.com/maps/search/?api=1&amp;query=24.71842281,46.77646545", "View Map")</f>
        <v>View Map</v>
      </c>
    </row>
    <row r="934" spans="1:7" x14ac:dyDescent="0.3">
      <c r="A934" t="s">
        <v>1573</v>
      </c>
      <c r="B934" t="s">
        <v>1574</v>
      </c>
      <c r="C934" t="s">
        <v>9</v>
      </c>
      <c r="D934" t="s">
        <v>154</v>
      </c>
      <c r="E934">
        <v>663</v>
      </c>
      <c r="F934" t="b">
        <v>1</v>
      </c>
      <c r="G934" t="str">
        <f>HYPERLINK("https://www.google.com/maps/search/?api=1&amp;query=24.56011764,46.78177022", "View Map")</f>
        <v>View Map</v>
      </c>
    </row>
    <row r="935" spans="1:7" x14ac:dyDescent="0.3">
      <c r="A935" t="s">
        <v>27</v>
      </c>
      <c r="B935" t="s">
        <v>1575</v>
      </c>
      <c r="C935" t="s">
        <v>9</v>
      </c>
      <c r="D935" t="s">
        <v>154</v>
      </c>
      <c r="E935">
        <v>663</v>
      </c>
      <c r="F935" t="b">
        <v>1</v>
      </c>
      <c r="G935" t="str">
        <f>HYPERLINK("https://www.google.com/maps/search/?api=1&amp;query=24.59666058,46.62223485", "View Map")</f>
        <v>View Map</v>
      </c>
    </row>
    <row r="936" spans="1:7" x14ac:dyDescent="0.3">
      <c r="A936" t="s">
        <v>1576</v>
      </c>
      <c r="B936" t="s">
        <v>1577</v>
      </c>
      <c r="C936" t="s">
        <v>9</v>
      </c>
      <c r="D936" t="s">
        <v>154</v>
      </c>
      <c r="E936">
        <v>662</v>
      </c>
      <c r="F936" t="b">
        <v>1</v>
      </c>
      <c r="G936" t="str">
        <f>HYPERLINK("https://www.google.com/maps/search/?api=1&amp;query=24.82202884,46.62588032", "View Map")</f>
        <v>View Map</v>
      </c>
    </row>
    <row r="937" spans="1:7" x14ac:dyDescent="0.3">
      <c r="A937" t="s">
        <v>1578</v>
      </c>
      <c r="B937" t="s">
        <v>1579</v>
      </c>
      <c r="C937" t="s">
        <v>9</v>
      </c>
      <c r="D937" t="s">
        <v>154</v>
      </c>
      <c r="E937">
        <v>662</v>
      </c>
      <c r="F937" t="b">
        <v>0</v>
      </c>
      <c r="G937" t="str">
        <f>HYPERLINK("https://www.google.com/maps/search/?api=1&amp;query=0.0,0.0", "View Map")</f>
        <v>View Map</v>
      </c>
    </row>
    <row r="938" spans="1:7" x14ac:dyDescent="0.3">
      <c r="A938" t="s">
        <v>194</v>
      </c>
      <c r="B938" t="s">
        <v>1580</v>
      </c>
      <c r="C938" t="s">
        <v>9</v>
      </c>
      <c r="D938" t="s">
        <v>10</v>
      </c>
      <c r="E938">
        <v>661</v>
      </c>
      <c r="F938" t="b">
        <v>1</v>
      </c>
      <c r="G938" t="str">
        <f>HYPERLINK("https://www.google.com/maps/search/?api=1&amp;query=24.82942092,46.68542883", "View Map")</f>
        <v>View Map</v>
      </c>
    </row>
    <row r="939" spans="1:7" x14ac:dyDescent="0.3">
      <c r="A939" t="s">
        <v>27</v>
      </c>
      <c r="B939" t="s">
        <v>1581</v>
      </c>
      <c r="C939" t="s">
        <v>9</v>
      </c>
      <c r="D939" t="s">
        <v>154</v>
      </c>
      <c r="E939">
        <v>661</v>
      </c>
      <c r="F939" t="b">
        <v>1</v>
      </c>
      <c r="G939" t="str">
        <f>HYPERLINK("https://www.google.com/maps/search/?api=1&amp;query=24.8766636,46.63321108", "View Map")</f>
        <v>View Map</v>
      </c>
    </row>
    <row r="940" spans="1:7" x14ac:dyDescent="0.3">
      <c r="A940" t="s">
        <v>1582</v>
      </c>
      <c r="B940" t="s">
        <v>1583</v>
      </c>
      <c r="C940" t="s">
        <v>9</v>
      </c>
      <c r="D940" t="s">
        <v>154</v>
      </c>
      <c r="E940">
        <v>661</v>
      </c>
      <c r="F940" t="b">
        <v>1</v>
      </c>
      <c r="G940" t="str">
        <f>HYPERLINK("https://www.google.com/maps/search/?api=1&amp;query=24.62424211,46.75374976", "View Map")</f>
        <v>View Map</v>
      </c>
    </row>
    <row r="941" spans="1:7" x14ac:dyDescent="0.3">
      <c r="A941" t="s">
        <v>1584</v>
      </c>
      <c r="B941" t="s">
        <v>1585</v>
      </c>
      <c r="C941" t="s">
        <v>9</v>
      </c>
      <c r="D941" t="s">
        <v>154</v>
      </c>
      <c r="E941">
        <v>661</v>
      </c>
      <c r="F941" t="b">
        <v>1</v>
      </c>
      <c r="G941" t="str">
        <f>HYPERLINK("https://www.google.com/maps/search/?api=1&amp;query=24.71824532,46.81024832", "View Map")</f>
        <v>View Map</v>
      </c>
    </row>
    <row r="942" spans="1:7" x14ac:dyDescent="0.3">
      <c r="A942" t="s">
        <v>27</v>
      </c>
      <c r="B942" t="s">
        <v>1586</v>
      </c>
      <c r="C942" t="s">
        <v>9</v>
      </c>
      <c r="D942" t="s">
        <v>154</v>
      </c>
      <c r="E942">
        <v>660</v>
      </c>
      <c r="F942" t="b">
        <v>1</v>
      </c>
      <c r="G942" t="str">
        <f>HYPERLINK("https://www.google.com/maps/search/?api=1&amp;query=24.8839,46.6358", "View Map")</f>
        <v>View Map</v>
      </c>
    </row>
    <row r="943" spans="1:7" x14ac:dyDescent="0.3">
      <c r="A943" t="s">
        <v>1587</v>
      </c>
      <c r="B943" t="s">
        <v>1588</v>
      </c>
      <c r="C943" t="s">
        <v>9</v>
      </c>
      <c r="D943" t="s">
        <v>10</v>
      </c>
      <c r="E943">
        <v>659</v>
      </c>
      <c r="F943" t="b">
        <v>0</v>
      </c>
      <c r="G943" t="str">
        <f>HYPERLINK("https://www.google.com/maps/search/?api=1&amp;query=24.76214674,46.78601871", "View Map")</f>
        <v>View Map</v>
      </c>
    </row>
    <row r="944" spans="1:7" x14ac:dyDescent="0.3">
      <c r="A944" t="s">
        <v>1589</v>
      </c>
      <c r="B944" t="s">
        <v>1590</v>
      </c>
      <c r="C944" t="s">
        <v>9</v>
      </c>
      <c r="D944" t="s">
        <v>154</v>
      </c>
      <c r="E944">
        <v>658</v>
      </c>
      <c r="F944" t="b">
        <v>1</v>
      </c>
      <c r="G944" t="str">
        <f>HYPERLINK("https://www.google.com/maps/search/?api=1&amp;query=24.78074525,46.79005083", "View Map")</f>
        <v>View Map</v>
      </c>
    </row>
    <row r="945" spans="1:7" x14ac:dyDescent="0.3">
      <c r="A945" t="s">
        <v>19</v>
      </c>
      <c r="B945" t="s">
        <v>1591</v>
      </c>
      <c r="C945" t="s">
        <v>9</v>
      </c>
      <c r="D945" t="s">
        <v>154</v>
      </c>
      <c r="E945">
        <v>658</v>
      </c>
      <c r="F945" t="b">
        <v>1</v>
      </c>
      <c r="G945" t="str">
        <f>HYPERLINK("https://www.google.com/maps/search/?api=1&amp;query=24.86015672,46.62968782", "View Map")</f>
        <v>View Map</v>
      </c>
    </row>
    <row r="946" spans="1:7" x14ac:dyDescent="0.3">
      <c r="A946" t="s">
        <v>1592</v>
      </c>
      <c r="B946" t="s">
        <v>1593</v>
      </c>
      <c r="C946" t="s">
        <v>9</v>
      </c>
      <c r="D946" t="s">
        <v>154</v>
      </c>
      <c r="E946">
        <v>658</v>
      </c>
      <c r="F946" t="b">
        <v>1</v>
      </c>
      <c r="G946" t="str">
        <f>HYPERLINK("https://www.google.com/maps/search/?api=1&amp;query=24.7306116,46.69007696", "View Map")</f>
        <v>View Map</v>
      </c>
    </row>
    <row r="947" spans="1:7" x14ac:dyDescent="0.3">
      <c r="A947" t="s">
        <v>1594</v>
      </c>
      <c r="B947" t="s">
        <v>1595</v>
      </c>
      <c r="C947" t="s">
        <v>9</v>
      </c>
      <c r="D947" t="s">
        <v>10</v>
      </c>
      <c r="E947">
        <v>657</v>
      </c>
      <c r="F947" t="b">
        <v>1</v>
      </c>
      <c r="G947" t="str">
        <f>HYPERLINK("https://www.google.com/maps/search/?api=1&amp;query=24.55218905,46.78653029", "View Map")</f>
        <v>View Map</v>
      </c>
    </row>
    <row r="948" spans="1:7" x14ac:dyDescent="0.3">
      <c r="A948" t="s">
        <v>1596</v>
      </c>
      <c r="B948" t="s">
        <v>1597</v>
      </c>
      <c r="C948" t="s">
        <v>9</v>
      </c>
      <c r="D948" t="s">
        <v>10</v>
      </c>
      <c r="E948">
        <v>657</v>
      </c>
      <c r="F948" t="b">
        <v>1</v>
      </c>
      <c r="G948" t="str">
        <f>HYPERLINK("https://www.google.com/maps/search/?api=1&amp;query=24.74081802,46.84435842", "View Map")</f>
        <v>View Map</v>
      </c>
    </row>
    <row r="949" spans="1:7" x14ac:dyDescent="0.3">
      <c r="A949" t="s">
        <v>1598</v>
      </c>
      <c r="B949" t="s">
        <v>1599</v>
      </c>
      <c r="C949" t="s">
        <v>9</v>
      </c>
      <c r="D949" t="s">
        <v>10</v>
      </c>
      <c r="E949">
        <v>655</v>
      </c>
      <c r="F949" t="b">
        <v>1</v>
      </c>
      <c r="G949" t="str">
        <f>HYPERLINK("https://www.google.com/maps/search/?api=1&amp;query=24.56298908,46.5635717", "View Map")</f>
        <v>View Map</v>
      </c>
    </row>
    <row r="950" spans="1:7" x14ac:dyDescent="0.3">
      <c r="A950" t="s">
        <v>1600</v>
      </c>
      <c r="B950" t="s">
        <v>1601</v>
      </c>
      <c r="C950" t="s">
        <v>9</v>
      </c>
      <c r="D950" t="s">
        <v>154</v>
      </c>
      <c r="E950">
        <v>655</v>
      </c>
      <c r="F950" t="b">
        <v>1</v>
      </c>
      <c r="G950" t="str">
        <f>HYPERLINK("https://www.google.com/maps/search/?api=1&amp;query=24.79017132,46.78155278", "View Map")</f>
        <v>View Map</v>
      </c>
    </row>
    <row r="951" spans="1:7" x14ac:dyDescent="0.3">
      <c r="A951" t="s">
        <v>1602</v>
      </c>
      <c r="B951" t="s">
        <v>1603</v>
      </c>
      <c r="C951" t="s">
        <v>9</v>
      </c>
      <c r="D951" t="s">
        <v>154</v>
      </c>
      <c r="E951">
        <v>655</v>
      </c>
      <c r="F951" t="b">
        <v>1</v>
      </c>
      <c r="G951" t="str">
        <f>HYPERLINK("https://www.google.com/maps/search/?api=1&amp;query=24.57122094,46.69226542", "View Map")</f>
        <v>View Map</v>
      </c>
    </row>
    <row r="952" spans="1:7" x14ac:dyDescent="0.3">
      <c r="A952" t="s">
        <v>1604</v>
      </c>
      <c r="B952" t="s">
        <v>1605</v>
      </c>
      <c r="C952" t="s">
        <v>9</v>
      </c>
      <c r="D952" t="s">
        <v>10</v>
      </c>
      <c r="E952">
        <v>654</v>
      </c>
      <c r="F952" t="b">
        <v>1</v>
      </c>
      <c r="G952" t="str">
        <f>HYPERLINK("https://www.google.com/maps/search/?api=1&amp;query=24.55676043,46.5226673", "View Map")</f>
        <v>View Map</v>
      </c>
    </row>
    <row r="953" spans="1:7" x14ac:dyDescent="0.3">
      <c r="A953" t="s">
        <v>1606</v>
      </c>
      <c r="B953" t="s">
        <v>1607</v>
      </c>
      <c r="C953" t="s">
        <v>9</v>
      </c>
      <c r="D953" t="s">
        <v>10</v>
      </c>
      <c r="E953">
        <v>653</v>
      </c>
      <c r="F953" t="b">
        <v>1</v>
      </c>
      <c r="G953" t="str">
        <f>HYPERLINK("https://www.google.com/maps/search/?api=1&amp;query=24.6929258,46.66634433", "View Map")</f>
        <v>View Map</v>
      </c>
    </row>
    <row r="954" spans="1:7" x14ac:dyDescent="0.3">
      <c r="A954" t="s">
        <v>229</v>
      </c>
      <c r="B954" t="s">
        <v>1608</v>
      </c>
      <c r="C954" t="s">
        <v>9</v>
      </c>
      <c r="D954" t="s">
        <v>10</v>
      </c>
      <c r="E954">
        <v>653</v>
      </c>
      <c r="F954" t="b">
        <v>1</v>
      </c>
      <c r="G954" t="str">
        <f>HYPERLINK("https://www.google.com/maps/search/?api=1&amp;query=24.76147681,46.82496094", "View Map")</f>
        <v>View Map</v>
      </c>
    </row>
    <row r="955" spans="1:7" x14ac:dyDescent="0.3">
      <c r="A955" t="s">
        <v>27</v>
      </c>
      <c r="B955" t="s">
        <v>1609</v>
      </c>
      <c r="C955" t="s">
        <v>9</v>
      </c>
      <c r="D955" t="s">
        <v>10</v>
      </c>
      <c r="E955">
        <v>652</v>
      </c>
      <c r="F955" t="b">
        <v>1</v>
      </c>
      <c r="G955" t="str">
        <f>HYPERLINK("https://www.google.com/maps/search/?api=1&amp;query=24.8446098,46.76920555", "View Map")</f>
        <v>View Map</v>
      </c>
    </row>
    <row r="956" spans="1:7" x14ac:dyDescent="0.3">
      <c r="A956" t="s">
        <v>1610</v>
      </c>
      <c r="B956" t="s">
        <v>1611</v>
      </c>
      <c r="C956" t="s">
        <v>9</v>
      </c>
      <c r="D956" t="s">
        <v>10</v>
      </c>
      <c r="E956">
        <v>652</v>
      </c>
      <c r="F956" t="b">
        <v>0</v>
      </c>
      <c r="G956" t="str">
        <f>HYPERLINK("https://www.google.com/maps/search/?api=1&amp;query=24.64033223,46.74318718", "View Map")</f>
        <v>View Map</v>
      </c>
    </row>
    <row r="957" spans="1:7" x14ac:dyDescent="0.3">
      <c r="A957" t="s">
        <v>159</v>
      </c>
      <c r="B957" t="s">
        <v>1612</v>
      </c>
      <c r="C957" t="s">
        <v>9</v>
      </c>
      <c r="D957" t="s">
        <v>154</v>
      </c>
      <c r="E957">
        <v>651</v>
      </c>
      <c r="F957" t="b">
        <v>1</v>
      </c>
      <c r="G957" t="str">
        <f>HYPERLINK("https://www.google.com/maps/search/?api=1&amp;query=24.59,46.7", "View Map")</f>
        <v>View Map</v>
      </c>
    </row>
    <row r="958" spans="1:7" x14ac:dyDescent="0.3">
      <c r="A958" t="s">
        <v>1613</v>
      </c>
      <c r="B958" t="s">
        <v>1614</v>
      </c>
      <c r="C958" t="s">
        <v>9</v>
      </c>
      <c r="D958" t="s">
        <v>154</v>
      </c>
      <c r="E958">
        <v>650</v>
      </c>
      <c r="F958" t="b">
        <v>1</v>
      </c>
      <c r="G958" t="str">
        <f>HYPERLINK("https://www.google.com/maps/search/?api=1&amp;query=24.73708335,46.78969606", "View Map")</f>
        <v>View Map</v>
      </c>
    </row>
    <row r="959" spans="1:7" x14ac:dyDescent="0.3">
      <c r="A959" t="s">
        <v>1615</v>
      </c>
      <c r="B959" t="s">
        <v>1616</v>
      </c>
      <c r="C959" t="s">
        <v>9</v>
      </c>
      <c r="D959" t="s">
        <v>154</v>
      </c>
      <c r="E959">
        <v>647</v>
      </c>
      <c r="F959" t="b">
        <v>1</v>
      </c>
      <c r="G959" t="str">
        <f>HYPERLINK("https://www.google.com/maps/search/?api=1&amp;query=24.7181423,46.80661594", "View Map")</f>
        <v>View Map</v>
      </c>
    </row>
    <row r="960" spans="1:7" x14ac:dyDescent="0.3">
      <c r="A960" t="s">
        <v>27</v>
      </c>
      <c r="B960" t="s">
        <v>1617</v>
      </c>
      <c r="C960" t="s">
        <v>9</v>
      </c>
      <c r="D960" t="s">
        <v>154</v>
      </c>
      <c r="E960">
        <v>647</v>
      </c>
      <c r="F960" t="b">
        <v>1</v>
      </c>
      <c r="G960" t="str">
        <f>HYPERLINK("https://www.google.com/maps/search/?api=1&amp;query=24.8856,46.6236", "View Map")</f>
        <v>View Map</v>
      </c>
    </row>
    <row r="961" spans="1:7" x14ac:dyDescent="0.3">
      <c r="A961" t="s">
        <v>1618</v>
      </c>
      <c r="B961" t="s">
        <v>1619</v>
      </c>
      <c r="C961" t="s">
        <v>9</v>
      </c>
      <c r="D961" t="s">
        <v>154</v>
      </c>
      <c r="E961">
        <v>646</v>
      </c>
      <c r="F961" t="b">
        <v>0</v>
      </c>
      <c r="G961" t="str">
        <f>HYPERLINK("https://www.google.com/maps/search/?api=1&amp;query=24.74754931,46.82205751", "View Map")</f>
        <v>View Map</v>
      </c>
    </row>
    <row r="962" spans="1:7" x14ac:dyDescent="0.3">
      <c r="A962" t="s">
        <v>1620</v>
      </c>
      <c r="B962" t="s">
        <v>1621</v>
      </c>
      <c r="C962" t="s">
        <v>9</v>
      </c>
      <c r="D962" t="s">
        <v>154</v>
      </c>
      <c r="E962">
        <v>645</v>
      </c>
      <c r="F962" t="b">
        <v>1</v>
      </c>
      <c r="G962" t="str">
        <f>HYPERLINK("https://www.google.com/maps/search/?api=1&amp;query=24.57704057,46.84532887", "View Map")</f>
        <v>View Map</v>
      </c>
    </row>
    <row r="963" spans="1:7" x14ac:dyDescent="0.3">
      <c r="A963" t="s">
        <v>194</v>
      </c>
      <c r="B963" t="s">
        <v>1622</v>
      </c>
      <c r="C963" t="s">
        <v>9</v>
      </c>
      <c r="D963" t="s">
        <v>10</v>
      </c>
      <c r="E963">
        <v>645</v>
      </c>
      <c r="F963" t="b">
        <v>0</v>
      </c>
      <c r="G963" t="str">
        <f>HYPERLINK("https://www.google.com/maps/search/?api=1&amp;query=24.83512749,46.88101455", "View Map")</f>
        <v>View Map</v>
      </c>
    </row>
    <row r="964" spans="1:7" x14ac:dyDescent="0.3">
      <c r="A964" t="s">
        <v>1623</v>
      </c>
      <c r="B964" t="s">
        <v>1624</v>
      </c>
      <c r="C964" t="s">
        <v>9</v>
      </c>
      <c r="D964" t="s">
        <v>154</v>
      </c>
      <c r="E964">
        <v>644</v>
      </c>
      <c r="F964" t="b">
        <v>1</v>
      </c>
      <c r="G964" t="str">
        <f>HYPERLINK("https://www.google.com/maps/search/?api=1&amp;query=24.57215663,46.58360309", "View Map")</f>
        <v>View Map</v>
      </c>
    </row>
    <row r="965" spans="1:7" x14ac:dyDescent="0.3">
      <c r="A965" t="s">
        <v>27</v>
      </c>
      <c r="B965" t="s">
        <v>1625</v>
      </c>
      <c r="C965" t="s">
        <v>9</v>
      </c>
      <c r="D965" t="s">
        <v>154</v>
      </c>
      <c r="E965">
        <v>643</v>
      </c>
      <c r="F965" t="b">
        <v>1</v>
      </c>
      <c r="G965" t="str">
        <f>HYPERLINK("https://www.google.com/maps/search/?api=1&amp;query=24.69704578,46.6245803", "View Map")</f>
        <v>View Map</v>
      </c>
    </row>
    <row r="966" spans="1:7" x14ac:dyDescent="0.3">
      <c r="A966" t="s">
        <v>1626</v>
      </c>
      <c r="B966" t="s">
        <v>1627</v>
      </c>
      <c r="C966" t="s">
        <v>9</v>
      </c>
      <c r="D966" t="s">
        <v>10</v>
      </c>
      <c r="E966">
        <v>641</v>
      </c>
      <c r="F966" t="b">
        <v>1</v>
      </c>
      <c r="G966" t="str">
        <f>HYPERLINK("https://www.google.com/maps/search/?api=1&amp;query=24.7378628,46.61243436", "View Map")</f>
        <v>View Map</v>
      </c>
    </row>
    <row r="967" spans="1:7" x14ac:dyDescent="0.3">
      <c r="A967" t="s">
        <v>19</v>
      </c>
      <c r="B967" t="s">
        <v>1628</v>
      </c>
      <c r="C967" t="s">
        <v>9</v>
      </c>
      <c r="D967" t="s">
        <v>154</v>
      </c>
      <c r="E967">
        <v>640</v>
      </c>
      <c r="F967" t="b">
        <v>1</v>
      </c>
      <c r="G967" t="str">
        <f>HYPERLINK("https://www.google.com/maps/search/?api=1&amp;query=24.81487507,46.61758932", "View Map")</f>
        <v>View Map</v>
      </c>
    </row>
    <row r="968" spans="1:7" x14ac:dyDescent="0.3">
      <c r="A968" t="s">
        <v>1629</v>
      </c>
      <c r="B968" t="s">
        <v>1630</v>
      </c>
      <c r="C968" t="s">
        <v>9</v>
      </c>
      <c r="D968" t="s">
        <v>154</v>
      </c>
      <c r="E968">
        <v>640</v>
      </c>
      <c r="F968" t="b">
        <v>1</v>
      </c>
      <c r="G968" t="str">
        <f>HYPERLINK("https://www.google.com/maps/search/?api=1&amp;query=24.58693637,46.76576371", "View Map")</f>
        <v>View Map</v>
      </c>
    </row>
    <row r="969" spans="1:7" x14ac:dyDescent="0.3">
      <c r="A969" t="s">
        <v>1631</v>
      </c>
      <c r="B969" t="s">
        <v>1632</v>
      </c>
      <c r="C969" t="s">
        <v>9</v>
      </c>
      <c r="D969" t="s">
        <v>154</v>
      </c>
      <c r="E969">
        <v>640</v>
      </c>
      <c r="F969" t="b">
        <v>1</v>
      </c>
      <c r="G969" t="str">
        <f>HYPERLINK("https://www.google.com/maps/search/?api=1&amp;query=24.76282314,46.77643728", "View Map")</f>
        <v>View Map</v>
      </c>
    </row>
    <row r="970" spans="1:7" x14ac:dyDescent="0.3">
      <c r="A970" t="s">
        <v>1633</v>
      </c>
      <c r="B970" t="s">
        <v>1634</v>
      </c>
      <c r="C970" t="s">
        <v>9</v>
      </c>
      <c r="D970" t="s">
        <v>10</v>
      </c>
      <c r="E970">
        <v>640</v>
      </c>
      <c r="F970" t="b">
        <v>1</v>
      </c>
      <c r="G970" t="str">
        <f>HYPERLINK("https://www.google.com/maps/search/?api=1&amp;query=24.56722617,46.77511662", "View Map")</f>
        <v>View Map</v>
      </c>
    </row>
    <row r="971" spans="1:7" x14ac:dyDescent="0.3">
      <c r="A971" t="s">
        <v>1635</v>
      </c>
      <c r="B971" t="s">
        <v>1636</v>
      </c>
      <c r="C971" t="s">
        <v>9</v>
      </c>
      <c r="D971" t="s">
        <v>154</v>
      </c>
      <c r="E971">
        <v>639</v>
      </c>
      <c r="F971" t="b">
        <v>1</v>
      </c>
      <c r="G971" t="str">
        <f>HYPERLINK("https://www.google.com/maps/search/?api=1&amp;query=24.56970915,46.65257787", "View Map")</f>
        <v>View Map</v>
      </c>
    </row>
    <row r="972" spans="1:7" x14ac:dyDescent="0.3">
      <c r="A972" t="s">
        <v>1637</v>
      </c>
      <c r="B972" t="s">
        <v>1638</v>
      </c>
      <c r="C972" t="s">
        <v>9</v>
      </c>
      <c r="D972" t="s">
        <v>154</v>
      </c>
      <c r="E972">
        <v>637</v>
      </c>
      <c r="F972" t="b">
        <v>1</v>
      </c>
      <c r="G972" t="str">
        <f>HYPERLINK("https://www.google.com/maps/search/?api=1&amp;query=24.56685625,46.77121183", "View Map")</f>
        <v>View Map</v>
      </c>
    </row>
    <row r="973" spans="1:7" x14ac:dyDescent="0.3">
      <c r="A973" t="s">
        <v>1639</v>
      </c>
      <c r="B973" t="s">
        <v>1640</v>
      </c>
      <c r="C973" t="s">
        <v>9</v>
      </c>
      <c r="D973" t="s">
        <v>154</v>
      </c>
      <c r="E973">
        <v>637</v>
      </c>
      <c r="F973" t="b">
        <v>1</v>
      </c>
      <c r="G973" t="str">
        <f>HYPERLINK("https://www.google.com/maps/search/?api=1&amp;query=24.8128698,46.65727134", "View Map")</f>
        <v>View Map</v>
      </c>
    </row>
    <row r="974" spans="1:7" x14ac:dyDescent="0.3">
      <c r="A974" t="s">
        <v>1641</v>
      </c>
      <c r="B974" t="s">
        <v>1642</v>
      </c>
      <c r="C974" t="s">
        <v>9</v>
      </c>
      <c r="D974" t="s">
        <v>154</v>
      </c>
      <c r="E974">
        <v>637</v>
      </c>
      <c r="F974" t="b">
        <v>1</v>
      </c>
      <c r="G974" t="str">
        <f>HYPERLINK("https://www.google.com/maps/search/?api=1&amp;query=24.61305081,46.65314077", "View Map")</f>
        <v>View Map</v>
      </c>
    </row>
    <row r="975" spans="1:7" x14ac:dyDescent="0.3">
      <c r="A975" t="s">
        <v>1643</v>
      </c>
      <c r="B975" t="s">
        <v>1644</v>
      </c>
      <c r="C975" t="s">
        <v>9</v>
      </c>
      <c r="D975" t="s">
        <v>154</v>
      </c>
      <c r="E975">
        <v>635</v>
      </c>
      <c r="F975" t="b">
        <v>1</v>
      </c>
      <c r="G975" t="str">
        <f>HYPERLINK("https://www.google.com/maps/search/?api=1&amp;query=24.63109463,46.69367426", "View Map")</f>
        <v>View Map</v>
      </c>
    </row>
    <row r="976" spans="1:7" x14ac:dyDescent="0.3">
      <c r="A976" t="s">
        <v>27</v>
      </c>
      <c r="B976" t="s">
        <v>1645</v>
      </c>
      <c r="C976" t="s">
        <v>9</v>
      </c>
      <c r="D976" t="s">
        <v>154</v>
      </c>
      <c r="E976">
        <v>635</v>
      </c>
      <c r="F976" t="b">
        <v>1</v>
      </c>
      <c r="G976" t="str">
        <f>HYPERLINK("https://www.google.com/maps/search/?api=1&amp;query=24.82316485,46.66212999", "View Map")</f>
        <v>View Map</v>
      </c>
    </row>
    <row r="977" spans="1:7" x14ac:dyDescent="0.3">
      <c r="A977" t="s">
        <v>1646</v>
      </c>
      <c r="B977" t="s">
        <v>1647</v>
      </c>
      <c r="C977" t="s">
        <v>9</v>
      </c>
      <c r="D977" t="s">
        <v>10</v>
      </c>
      <c r="E977">
        <v>633</v>
      </c>
      <c r="F977" t="b">
        <v>1</v>
      </c>
      <c r="G977" t="str">
        <f>HYPERLINK("https://www.google.com/maps/search/?api=1&amp;query=24.78442,46.6849", "View Map")</f>
        <v>View Map</v>
      </c>
    </row>
    <row r="978" spans="1:7" x14ac:dyDescent="0.3">
      <c r="A978" t="s">
        <v>1648</v>
      </c>
      <c r="B978" t="s">
        <v>1649</v>
      </c>
      <c r="C978" t="s">
        <v>9</v>
      </c>
      <c r="D978" t="s">
        <v>154</v>
      </c>
      <c r="E978">
        <v>633</v>
      </c>
      <c r="F978" t="b">
        <v>1</v>
      </c>
      <c r="G978" t="str">
        <f>HYPERLINK("https://www.google.com/maps/search/?api=1&amp;query=24.70567047,46.797484", "View Map")</f>
        <v>View Map</v>
      </c>
    </row>
    <row r="979" spans="1:7" x14ac:dyDescent="0.3">
      <c r="A979" t="s">
        <v>1650</v>
      </c>
      <c r="B979" t="s">
        <v>1651</v>
      </c>
      <c r="C979" t="s">
        <v>9</v>
      </c>
      <c r="D979" t="s">
        <v>10</v>
      </c>
      <c r="E979">
        <v>632</v>
      </c>
      <c r="F979" t="b">
        <v>1</v>
      </c>
      <c r="G979" t="str">
        <f>HYPERLINK("https://www.google.com/maps/search/?api=1&amp;query=24.56821711,46.64846579", "View Map")</f>
        <v>View Map</v>
      </c>
    </row>
    <row r="980" spans="1:7" x14ac:dyDescent="0.3">
      <c r="A980" t="s">
        <v>19</v>
      </c>
      <c r="B980" t="s">
        <v>1652</v>
      </c>
      <c r="C980" t="s">
        <v>9</v>
      </c>
      <c r="D980" t="s">
        <v>154</v>
      </c>
      <c r="E980">
        <v>632</v>
      </c>
      <c r="F980" t="b">
        <v>1</v>
      </c>
      <c r="G980" t="str">
        <f>HYPERLINK("https://www.google.com/maps/search/?api=1&amp;query=24.8265293,46.59987905", "View Map")</f>
        <v>View Map</v>
      </c>
    </row>
    <row r="981" spans="1:7" x14ac:dyDescent="0.3">
      <c r="A981" t="s">
        <v>1653</v>
      </c>
      <c r="B981" t="s">
        <v>1654</v>
      </c>
      <c r="C981" t="s">
        <v>9</v>
      </c>
      <c r="D981" t="s">
        <v>154</v>
      </c>
      <c r="E981">
        <v>632</v>
      </c>
      <c r="F981" t="b">
        <v>1</v>
      </c>
      <c r="G981" t="str">
        <f>HYPERLINK("https://www.google.com/maps/search/?api=1&amp;query=24.63406108,46.55279791", "View Map")</f>
        <v>View Map</v>
      </c>
    </row>
    <row r="982" spans="1:7" x14ac:dyDescent="0.3">
      <c r="A982" t="s">
        <v>1655</v>
      </c>
      <c r="B982" t="s">
        <v>1656</v>
      </c>
      <c r="C982" t="s">
        <v>9</v>
      </c>
      <c r="D982" t="s">
        <v>154</v>
      </c>
      <c r="E982">
        <v>632</v>
      </c>
      <c r="F982" t="b">
        <v>1</v>
      </c>
      <c r="G982" t="str">
        <f>HYPERLINK("https://www.google.com/maps/search/?api=1&amp;query=24.7297,46.8114", "View Map")</f>
        <v>View Map</v>
      </c>
    </row>
    <row r="983" spans="1:7" x14ac:dyDescent="0.3">
      <c r="A983" t="s">
        <v>27</v>
      </c>
      <c r="B983" t="s">
        <v>1657</v>
      </c>
      <c r="C983" t="s">
        <v>9</v>
      </c>
      <c r="D983" t="s">
        <v>154</v>
      </c>
      <c r="E983">
        <v>631</v>
      </c>
      <c r="F983" t="b">
        <v>1</v>
      </c>
      <c r="G983" t="str">
        <f>HYPERLINK("https://www.google.com/maps/search/?api=1&amp;query=24.92334319,46.82037301", "View Map")</f>
        <v>View Map</v>
      </c>
    </row>
    <row r="984" spans="1:7" x14ac:dyDescent="0.3">
      <c r="A984" t="s">
        <v>1658</v>
      </c>
      <c r="B984" t="s">
        <v>1659</v>
      </c>
      <c r="C984" t="s">
        <v>9</v>
      </c>
      <c r="D984" t="s">
        <v>10</v>
      </c>
      <c r="E984">
        <v>631</v>
      </c>
      <c r="F984" t="b">
        <v>0</v>
      </c>
      <c r="G984" t="str">
        <f>HYPERLINK("https://www.google.com/maps/search/?api=1&amp;query=24.66121066,46.74543344", "View Map")</f>
        <v>View Map</v>
      </c>
    </row>
    <row r="985" spans="1:7" x14ac:dyDescent="0.3">
      <c r="A985" t="s">
        <v>1005</v>
      </c>
      <c r="B985" t="s">
        <v>1660</v>
      </c>
      <c r="C985" t="s">
        <v>9</v>
      </c>
      <c r="D985" t="s">
        <v>10</v>
      </c>
      <c r="E985">
        <v>631</v>
      </c>
      <c r="F985" t="b">
        <v>1</v>
      </c>
      <c r="G985" t="str">
        <f>HYPERLINK("https://www.google.com/maps/search/?api=1&amp;query=24.73369854,46.78811198", "View Map")</f>
        <v>View Map</v>
      </c>
    </row>
    <row r="986" spans="1:7" x14ac:dyDescent="0.3">
      <c r="A986" t="s">
        <v>1661</v>
      </c>
      <c r="B986" t="s">
        <v>1662</v>
      </c>
      <c r="C986" t="s">
        <v>9</v>
      </c>
      <c r="D986" t="s">
        <v>10</v>
      </c>
      <c r="E986">
        <v>630</v>
      </c>
      <c r="F986" t="b">
        <v>1</v>
      </c>
      <c r="G986" t="str">
        <f>HYPERLINK("https://www.google.com/maps/search/?api=1&amp;query=24.76137489,46.81414004", "View Map")</f>
        <v>View Map</v>
      </c>
    </row>
    <row r="987" spans="1:7" x14ac:dyDescent="0.3">
      <c r="A987" t="s">
        <v>159</v>
      </c>
      <c r="B987" t="s">
        <v>1663</v>
      </c>
      <c r="C987" t="s">
        <v>9</v>
      </c>
      <c r="D987" t="s">
        <v>154</v>
      </c>
      <c r="E987">
        <v>628</v>
      </c>
      <c r="F987" t="b">
        <v>1</v>
      </c>
      <c r="G987" t="str">
        <f>HYPERLINK("https://www.google.com/maps/search/?api=1&amp;query=24.51271581,46.62850998", "View Map")</f>
        <v>View Map</v>
      </c>
    </row>
    <row r="988" spans="1:7" x14ac:dyDescent="0.3">
      <c r="A988" t="s">
        <v>1664</v>
      </c>
      <c r="B988" t="s">
        <v>1665</v>
      </c>
      <c r="C988" t="s">
        <v>9</v>
      </c>
      <c r="D988" t="s">
        <v>154</v>
      </c>
      <c r="E988">
        <v>628</v>
      </c>
      <c r="F988" t="b">
        <v>1</v>
      </c>
      <c r="G988" t="str">
        <f>HYPERLINK("https://www.google.com/maps/search/?api=1&amp;query=24.81133093,46.61878903", "View Map")</f>
        <v>View Map</v>
      </c>
    </row>
    <row r="989" spans="1:7" x14ac:dyDescent="0.3">
      <c r="A989" t="s">
        <v>159</v>
      </c>
      <c r="B989" t="s">
        <v>1666</v>
      </c>
      <c r="C989" t="s">
        <v>9</v>
      </c>
      <c r="D989" t="s">
        <v>154</v>
      </c>
      <c r="E989">
        <v>628</v>
      </c>
      <c r="F989" t="b">
        <v>1</v>
      </c>
      <c r="G989" t="str">
        <f>HYPERLINK("https://www.google.com/maps/search/?api=1&amp;query=24.5016583,46.66427185", "View Map")</f>
        <v>View Map</v>
      </c>
    </row>
    <row r="990" spans="1:7" x14ac:dyDescent="0.3">
      <c r="A990" t="s">
        <v>1667</v>
      </c>
      <c r="B990" t="s">
        <v>1668</v>
      </c>
      <c r="C990" t="s">
        <v>9</v>
      </c>
      <c r="D990" t="s">
        <v>154</v>
      </c>
      <c r="E990">
        <v>627</v>
      </c>
      <c r="F990" t="b">
        <v>1</v>
      </c>
      <c r="G990" t="str">
        <f>HYPERLINK("https://www.google.com/maps/search/?api=1&amp;query=24.54926874,46.70853761", "View Map")</f>
        <v>View Map</v>
      </c>
    </row>
    <row r="991" spans="1:7" x14ac:dyDescent="0.3">
      <c r="A991" t="s">
        <v>390</v>
      </c>
      <c r="B991" t="s">
        <v>1669</v>
      </c>
      <c r="C991" t="s">
        <v>9</v>
      </c>
      <c r="D991" t="s">
        <v>154</v>
      </c>
      <c r="E991">
        <v>626</v>
      </c>
      <c r="F991" t="b">
        <v>1</v>
      </c>
      <c r="G991" t="str">
        <f>HYPERLINK("https://www.google.com/maps/search/?api=1&amp;query=24.81006836,46.61501193", "View Map")</f>
        <v>View Map</v>
      </c>
    </row>
    <row r="992" spans="1:7" x14ac:dyDescent="0.3">
      <c r="A992" t="s">
        <v>27</v>
      </c>
      <c r="B992" t="s">
        <v>1670</v>
      </c>
      <c r="C992" t="s">
        <v>9</v>
      </c>
      <c r="D992" t="s">
        <v>10</v>
      </c>
      <c r="E992">
        <v>624</v>
      </c>
      <c r="F992" t="b">
        <v>1</v>
      </c>
      <c r="G992" t="str">
        <f>HYPERLINK("https://www.google.com/maps/search/?api=1&amp;query=24.87410778,46.61739178", "View Map")</f>
        <v>View Map</v>
      </c>
    </row>
    <row r="993" spans="1:7" x14ac:dyDescent="0.3">
      <c r="A993" t="s">
        <v>159</v>
      </c>
      <c r="B993" t="s">
        <v>1671</v>
      </c>
      <c r="C993" t="s">
        <v>9</v>
      </c>
      <c r="D993" t="s">
        <v>10</v>
      </c>
      <c r="E993">
        <v>623</v>
      </c>
      <c r="F993" t="b">
        <v>1</v>
      </c>
      <c r="G993" t="str">
        <f>HYPERLINK("https://www.google.com/maps/search/?api=1&amp;query=24.57398396,46.63571953", "View Map")</f>
        <v>View Map</v>
      </c>
    </row>
    <row r="994" spans="1:7" x14ac:dyDescent="0.3">
      <c r="A994" t="s">
        <v>159</v>
      </c>
      <c r="B994" t="s">
        <v>1672</v>
      </c>
      <c r="C994" t="s">
        <v>9</v>
      </c>
      <c r="D994" t="s">
        <v>154</v>
      </c>
      <c r="E994">
        <v>621</v>
      </c>
      <c r="F994" t="b">
        <v>1</v>
      </c>
      <c r="G994" t="str">
        <f>HYPERLINK("https://www.google.com/maps/search/?api=1&amp;query=24.53586152,46.63978243", "View Map")</f>
        <v>View Map</v>
      </c>
    </row>
    <row r="995" spans="1:7" x14ac:dyDescent="0.3">
      <c r="A995" t="s">
        <v>194</v>
      </c>
      <c r="B995" t="s">
        <v>1673</v>
      </c>
      <c r="C995" t="s">
        <v>9</v>
      </c>
      <c r="D995" t="s">
        <v>154</v>
      </c>
      <c r="E995">
        <v>621</v>
      </c>
      <c r="F995" t="b">
        <v>1</v>
      </c>
      <c r="G995" t="str">
        <f>HYPERLINK("https://www.google.com/maps/search/?api=1&amp;query=24.81753844,46.8770442", "View Map")</f>
        <v>View Map</v>
      </c>
    </row>
    <row r="996" spans="1:7" x14ac:dyDescent="0.3">
      <c r="A996" t="s">
        <v>1674</v>
      </c>
      <c r="B996" t="s">
        <v>1675</v>
      </c>
      <c r="C996" t="s">
        <v>9</v>
      </c>
      <c r="D996" t="s">
        <v>10</v>
      </c>
      <c r="E996">
        <v>621</v>
      </c>
      <c r="F996" t="b">
        <v>1</v>
      </c>
      <c r="G996" t="str">
        <f>HYPERLINK("https://www.google.com/maps/search/?api=1&amp;query=24.55163773,46.65317337", "View Map")</f>
        <v>View Map</v>
      </c>
    </row>
    <row r="997" spans="1:7" x14ac:dyDescent="0.3">
      <c r="A997" t="s">
        <v>1676</v>
      </c>
      <c r="B997" t="s">
        <v>1677</v>
      </c>
      <c r="C997" t="s">
        <v>9</v>
      </c>
      <c r="D997" t="s">
        <v>10</v>
      </c>
      <c r="E997">
        <v>621</v>
      </c>
      <c r="F997" t="b">
        <v>0</v>
      </c>
      <c r="G997" t="str">
        <f>HYPERLINK("https://www.google.com/maps/search/?api=1&amp;query=24.58184648,46.54618173", "View Map")</f>
        <v>View Map</v>
      </c>
    </row>
    <row r="998" spans="1:7" x14ac:dyDescent="0.3">
      <c r="A998" t="s">
        <v>1678</v>
      </c>
      <c r="B998" t="s">
        <v>1679</v>
      </c>
      <c r="C998" t="s">
        <v>9</v>
      </c>
      <c r="D998" t="s">
        <v>10</v>
      </c>
      <c r="E998">
        <v>621</v>
      </c>
      <c r="F998" t="b">
        <v>0</v>
      </c>
      <c r="G998" t="str">
        <f>HYPERLINK("https://www.google.com/maps/search/?api=1&amp;query=24.78386498,46.71254496", "View Map")</f>
        <v>View Map</v>
      </c>
    </row>
    <row r="999" spans="1:7" x14ac:dyDescent="0.3">
      <c r="A999" t="s">
        <v>1680</v>
      </c>
      <c r="B999" t="s">
        <v>1681</v>
      </c>
      <c r="C999" t="s">
        <v>9</v>
      </c>
      <c r="D999" t="s">
        <v>154</v>
      </c>
      <c r="E999">
        <v>620</v>
      </c>
      <c r="F999" t="b">
        <v>1</v>
      </c>
      <c r="G999" t="str">
        <f>HYPERLINK("https://www.google.com/maps/search/?api=1&amp;query=24.73106364,46.8076619", "View Map")</f>
        <v>View Map</v>
      </c>
    </row>
    <row r="1000" spans="1:7" x14ac:dyDescent="0.3">
      <c r="A1000" t="s">
        <v>1682</v>
      </c>
      <c r="B1000" t="s">
        <v>1683</v>
      </c>
      <c r="C1000" t="s">
        <v>9</v>
      </c>
      <c r="D1000" t="s">
        <v>154</v>
      </c>
      <c r="E1000">
        <v>620</v>
      </c>
      <c r="F1000" t="b">
        <v>1</v>
      </c>
      <c r="G1000" t="str">
        <f>HYPERLINK("https://www.google.com/maps/search/?api=1&amp;query=24.63989924,46.7349719", "View Map")</f>
        <v>View Map</v>
      </c>
    </row>
    <row r="1001" spans="1:7" x14ac:dyDescent="0.3">
      <c r="A1001" t="s">
        <v>1684</v>
      </c>
      <c r="B1001" t="s">
        <v>1685</v>
      </c>
      <c r="C1001" t="s">
        <v>9</v>
      </c>
      <c r="D1001" t="s">
        <v>154</v>
      </c>
      <c r="E1001">
        <v>619</v>
      </c>
      <c r="F1001" t="b">
        <v>1</v>
      </c>
      <c r="G1001" t="str">
        <f>HYPERLINK("https://www.google.com/maps/search/?api=1&amp;query=24.68959386,46.61181068", "View Map")</f>
        <v>View Map</v>
      </c>
    </row>
    <row r="1002" spans="1:7" x14ac:dyDescent="0.3">
      <c r="A1002" t="s">
        <v>1686</v>
      </c>
      <c r="B1002" t="s">
        <v>1687</v>
      </c>
      <c r="C1002" t="s">
        <v>9</v>
      </c>
      <c r="D1002" t="s">
        <v>154</v>
      </c>
      <c r="E1002">
        <v>619</v>
      </c>
      <c r="F1002" t="b">
        <v>1</v>
      </c>
      <c r="G1002" t="str">
        <f>HYPERLINK("https://www.google.com/maps/search/?api=1&amp;query=24.67867249,46.79019099", "View Map")</f>
        <v>View Map</v>
      </c>
    </row>
    <row r="1003" spans="1:7" x14ac:dyDescent="0.3">
      <c r="A1003" t="s">
        <v>1688</v>
      </c>
      <c r="B1003" t="s">
        <v>1689</v>
      </c>
      <c r="C1003" t="s">
        <v>9</v>
      </c>
      <c r="D1003" t="s">
        <v>154</v>
      </c>
      <c r="E1003">
        <v>617</v>
      </c>
      <c r="F1003" t="b">
        <v>1</v>
      </c>
      <c r="G1003" t="str">
        <f>HYPERLINK("https://www.google.com/maps/search/?api=1&amp;query=24.57764299,46.54183285", "View Map")</f>
        <v>View Map</v>
      </c>
    </row>
    <row r="1004" spans="1:7" x14ac:dyDescent="0.3">
      <c r="A1004" t="s">
        <v>1690</v>
      </c>
      <c r="B1004" t="s">
        <v>1691</v>
      </c>
      <c r="C1004" t="s">
        <v>9</v>
      </c>
      <c r="D1004" t="s">
        <v>10</v>
      </c>
      <c r="E1004">
        <v>616</v>
      </c>
      <c r="F1004" t="b">
        <v>1</v>
      </c>
      <c r="G1004" t="str">
        <f>HYPERLINK("https://www.google.com/maps/search/?api=1&amp;query=24.64167992,46.68568093", "View Map")</f>
        <v>View Map</v>
      </c>
    </row>
    <row r="1005" spans="1:7" x14ac:dyDescent="0.3">
      <c r="A1005" t="s">
        <v>1692</v>
      </c>
      <c r="B1005" t="s">
        <v>1693</v>
      </c>
      <c r="C1005" t="s">
        <v>72</v>
      </c>
      <c r="D1005" t="s">
        <v>154</v>
      </c>
      <c r="E1005">
        <v>616</v>
      </c>
      <c r="F1005" t="b">
        <v>1</v>
      </c>
      <c r="G1005" t="str">
        <f>HYPERLINK("https://www.google.com/maps/search/?api=1&amp;query=24.74346695,46.58836502", "View Map")</f>
        <v>View Map</v>
      </c>
    </row>
    <row r="1006" spans="1:7" x14ac:dyDescent="0.3">
      <c r="A1006" t="s">
        <v>159</v>
      </c>
      <c r="B1006" t="s">
        <v>1694</v>
      </c>
      <c r="C1006" t="s">
        <v>9</v>
      </c>
      <c r="D1006" t="s">
        <v>154</v>
      </c>
      <c r="E1006">
        <v>616</v>
      </c>
      <c r="F1006" t="b">
        <v>1</v>
      </c>
      <c r="G1006" t="str">
        <f>HYPERLINK("https://www.google.com/maps/search/?api=1&amp;query=24.55866422,46.51565287", "View Map")</f>
        <v>View Map</v>
      </c>
    </row>
    <row r="1007" spans="1:7" x14ac:dyDescent="0.3">
      <c r="A1007" t="s">
        <v>1695</v>
      </c>
      <c r="B1007" t="s">
        <v>1696</v>
      </c>
      <c r="C1007" t="s">
        <v>9</v>
      </c>
      <c r="D1007" t="s">
        <v>154</v>
      </c>
      <c r="E1007">
        <v>616</v>
      </c>
      <c r="F1007" t="b">
        <v>1</v>
      </c>
      <c r="G1007" t="str">
        <f>HYPERLINK("https://www.google.com/maps/search/?api=1&amp;query=24.79240461,46.7713202", "View Map")</f>
        <v>View Map</v>
      </c>
    </row>
    <row r="1008" spans="1:7" x14ac:dyDescent="0.3">
      <c r="A1008" t="s">
        <v>1697</v>
      </c>
      <c r="B1008" t="s">
        <v>1698</v>
      </c>
      <c r="C1008" t="s">
        <v>9</v>
      </c>
      <c r="D1008" t="s">
        <v>154</v>
      </c>
      <c r="E1008">
        <v>615</v>
      </c>
      <c r="F1008" t="b">
        <v>1</v>
      </c>
      <c r="G1008" t="str">
        <f>HYPERLINK("https://www.google.com/maps/search/?api=1&amp;query=24.71551367,46.67279954", "View Map")</f>
        <v>View Map</v>
      </c>
    </row>
    <row r="1009" spans="1:7" x14ac:dyDescent="0.3">
      <c r="A1009" t="s">
        <v>159</v>
      </c>
      <c r="B1009" t="s">
        <v>1699</v>
      </c>
      <c r="C1009" t="s">
        <v>9</v>
      </c>
      <c r="D1009" t="s">
        <v>154</v>
      </c>
      <c r="E1009">
        <v>615</v>
      </c>
      <c r="F1009" t="b">
        <v>1</v>
      </c>
      <c r="G1009" t="str">
        <f>HYPERLINK("https://www.google.com/maps/search/?api=1&amp;query=24.6219,46.6989", "View Map")</f>
        <v>View Map</v>
      </c>
    </row>
    <row r="1010" spans="1:7" x14ac:dyDescent="0.3">
      <c r="A1010" t="s">
        <v>1700</v>
      </c>
      <c r="B1010" t="s">
        <v>1701</v>
      </c>
      <c r="C1010" t="s">
        <v>9</v>
      </c>
      <c r="D1010" t="s">
        <v>154</v>
      </c>
      <c r="E1010">
        <v>614</v>
      </c>
      <c r="F1010" t="b">
        <v>1</v>
      </c>
      <c r="G1010" t="str">
        <f>HYPERLINK("https://www.google.com/maps/search/?api=1&amp;query=24.7322082,46.71941962", "View Map")</f>
        <v>View Map</v>
      </c>
    </row>
    <row r="1011" spans="1:7" x14ac:dyDescent="0.3">
      <c r="A1011" t="s">
        <v>553</v>
      </c>
      <c r="B1011" t="s">
        <v>1702</v>
      </c>
      <c r="C1011" t="s">
        <v>9</v>
      </c>
      <c r="D1011" t="s">
        <v>154</v>
      </c>
      <c r="E1011">
        <v>613</v>
      </c>
      <c r="F1011" t="b">
        <v>1</v>
      </c>
      <c r="G1011" t="str">
        <f>HYPERLINK("https://www.google.com/maps/search/?api=1&amp;query=24.76727367,46.78654093", "View Map")</f>
        <v>View Map</v>
      </c>
    </row>
    <row r="1012" spans="1:7" x14ac:dyDescent="0.3">
      <c r="A1012" t="s">
        <v>1703</v>
      </c>
      <c r="B1012" t="s">
        <v>1704</v>
      </c>
      <c r="C1012" t="s">
        <v>9</v>
      </c>
      <c r="D1012" t="s">
        <v>10</v>
      </c>
      <c r="E1012">
        <v>613</v>
      </c>
      <c r="F1012" t="b">
        <v>1</v>
      </c>
      <c r="G1012" t="str">
        <f>HYPERLINK("https://www.google.com/maps/search/?api=1&amp;query=24.5863228,46.58387494", "View Map")</f>
        <v>View Map</v>
      </c>
    </row>
    <row r="1013" spans="1:7" x14ac:dyDescent="0.3">
      <c r="A1013" t="s">
        <v>1705</v>
      </c>
      <c r="B1013" t="s">
        <v>1706</v>
      </c>
      <c r="C1013" t="s">
        <v>9</v>
      </c>
      <c r="D1013" t="s">
        <v>154</v>
      </c>
      <c r="E1013">
        <v>612</v>
      </c>
      <c r="F1013" t="b">
        <v>1</v>
      </c>
      <c r="G1013" t="str">
        <f>HYPERLINK("https://www.google.com/maps/search/?api=1&amp;query=24.67619409,46.7902534", "View Map")</f>
        <v>View Map</v>
      </c>
    </row>
    <row r="1014" spans="1:7" x14ac:dyDescent="0.3">
      <c r="A1014" t="s">
        <v>1707</v>
      </c>
      <c r="B1014" t="s">
        <v>1708</v>
      </c>
      <c r="C1014" t="s">
        <v>9</v>
      </c>
      <c r="D1014" t="s">
        <v>154</v>
      </c>
      <c r="E1014">
        <v>612</v>
      </c>
      <c r="F1014" t="b">
        <v>1</v>
      </c>
      <c r="G1014" t="str">
        <f>HYPERLINK("https://www.google.com/maps/search/?api=1&amp;query=24.57997846,46.83406915", "View Map")</f>
        <v>View Map</v>
      </c>
    </row>
    <row r="1015" spans="1:7" x14ac:dyDescent="0.3">
      <c r="A1015" t="s">
        <v>1709</v>
      </c>
      <c r="B1015" t="s">
        <v>1710</v>
      </c>
      <c r="C1015" t="s">
        <v>9</v>
      </c>
      <c r="D1015" t="s">
        <v>154</v>
      </c>
      <c r="E1015">
        <v>610</v>
      </c>
      <c r="F1015" t="b">
        <v>1</v>
      </c>
      <c r="G1015" t="str">
        <f>HYPERLINK("https://www.google.com/maps/search/?api=1&amp;query=24.54654235,46.70081307", "View Map")</f>
        <v>View Map</v>
      </c>
    </row>
    <row r="1016" spans="1:7" x14ac:dyDescent="0.3">
      <c r="A1016" t="s">
        <v>27</v>
      </c>
      <c r="B1016" t="s">
        <v>1711</v>
      </c>
      <c r="C1016" t="s">
        <v>9</v>
      </c>
      <c r="D1016" t="s">
        <v>154</v>
      </c>
      <c r="E1016">
        <v>609</v>
      </c>
      <c r="F1016" t="b">
        <v>1</v>
      </c>
      <c r="G1016" t="str">
        <f>HYPERLINK("https://www.google.com/maps/search/?api=1&amp;query=24.74720507,46.62626778", "View Map")</f>
        <v>View Map</v>
      </c>
    </row>
    <row r="1017" spans="1:7" x14ac:dyDescent="0.3">
      <c r="A1017" t="s">
        <v>194</v>
      </c>
      <c r="B1017" t="s">
        <v>1712</v>
      </c>
      <c r="C1017" t="s">
        <v>9</v>
      </c>
      <c r="D1017" t="s">
        <v>154</v>
      </c>
      <c r="E1017">
        <v>609</v>
      </c>
      <c r="F1017" t="b">
        <v>1</v>
      </c>
      <c r="G1017" t="str">
        <f>HYPERLINK("https://www.google.com/maps/search/?api=1&amp;query=24.82300202,46.72642484", "View Map")</f>
        <v>View Map</v>
      </c>
    </row>
    <row r="1018" spans="1:7" x14ac:dyDescent="0.3">
      <c r="A1018" t="s">
        <v>1713</v>
      </c>
      <c r="B1018" t="s">
        <v>1714</v>
      </c>
      <c r="C1018" t="s">
        <v>9</v>
      </c>
      <c r="D1018" t="s">
        <v>1715</v>
      </c>
      <c r="E1018">
        <v>607</v>
      </c>
      <c r="F1018" t="b">
        <v>1</v>
      </c>
      <c r="G1018" t="str">
        <f>HYPERLINK("https://www.google.com/maps/search/?api=1&amp;query=24.80897569,46.88102771", "View Map")</f>
        <v>View Map</v>
      </c>
    </row>
    <row r="1019" spans="1:7" x14ac:dyDescent="0.3">
      <c r="A1019" t="s">
        <v>159</v>
      </c>
      <c r="B1019" t="s">
        <v>1716</v>
      </c>
      <c r="C1019" t="s">
        <v>9</v>
      </c>
      <c r="D1019" t="s">
        <v>154</v>
      </c>
      <c r="E1019">
        <v>607</v>
      </c>
      <c r="F1019" t="b">
        <v>1</v>
      </c>
      <c r="G1019" t="str">
        <f>HYPERLINK("https://www.google.com/maps/search/?api=1&amp;query=24.5733,46.6092", "View Map")</f>
        <v>View Map</v>
      </c>
    </row>
    <row r="1020" spans="1:7" x14ac:dyDescent="0.3">
      <c r="A1020" t="s">
        <v>348</v>
      </c>
      <c r="B1020" t="s">
        <v>1717</v>
      </c>
      <c r="C1020" t="s">
        <v>9</v>
      </c>
      <c r="D1020" t="s">
        <v>154</v>
      </c>
      <c r="E1020">
        <v>606</v>
      </c>
      <c r="F1020" t="b">
        <v>1</v>
      </c>
      <c r="G1020" t="str">
        <f>HYPERLINK("https://www.google.com/maps/search/?api=1&amp;query=24.61205914,46.73509434", "View Map")</f>
        <v>View Map</v>
      </c>
    </row>
    <row r="1021" spans="1:7" x14ac:dyDescent="0.3">
      <c r="A1021" t="s">
        <v>27</v>
      </c>
      <c r="B1021" t="s">
        <v>1718</v>
      </c>
      <c r="C1021" t="s">
        <v>9</v>
      </c>
      <c r="D1021" t="s">
        <v>154</v>
      </c>
      <c r="E1021">
        <v>606</v>
      </c>
      <c r="F1021" t="b">
        <v>0</v>
      </c>
      <c r="G1021" t="str">
        <f>HYPERLINK("https://www.google.com/maps/search/?api=1&amp;query=0.0,0.0", "View Map")</f>
        <v>View Map</v>
      </c>
    </row>
    <row r="1022" spans="1:7" x14ac:dyDescent="0.3">
      <c r="A1022" t="s">
        <v>1719</v>
      </c>
      <c r="B1022" t="s">
        <v>1720</v>
      </c>
      <c r="C1022" t="s">
        <v>72</v>
      </c>
      <c r="D1022" t="s">
        <v>154</v>
      </c>
      <c r="E1022">
        <v>606</v>
      </c>
      <c r="F1022" t="b">
        <v>1</v>
      </c>
      <c r="G1022" t="str">
        <f>HYPERLINK("https://www.google.com/maps/search/?api=1&amp;query=24.77574319,46.58338538", "View Map")</f>
        <v>View Map</v>
      </c>
    </row>
    <row r="1023" spans="1:7" x14ac:dyDescent="0.3">
      <c r="A1023" t="s">
        <v>159</v>
      </c>
      <c r="B1023" t="s">
        <v>1721</v>
      </c>
      <c r="C1023" t="s">
        <v>9</v>
      </c>
      <c r="D1023" t="s">
        <v>154</v>
      </c>
      <c r="E1023">
        <v>605</v>
      </c>
      <c r="F1023" t="b">
        <v>1</v>
      </c>
      <c r="G1023" t="str">
        <f>HYPERLINK("https://www.google.com/maps/search/?api=1&amp;query=24.56043057,46.72315106", "View Map")</f>
        <v>View Map</v>
      </c>
    </row>
    <row r="1024" spans="1:7" x14ac:dyDescent="0.3">
      <c r="A1024" t="s">
        <v>1722</v>
      </c>
      <c r="B1024" t="s">
        <v>1723</v>
      </c>
      <c r="C1024" t="s">
        <v>9</v>
      </c>
      <c r="D1024" t="s">
        <v>154</v>
      </c>
      <c r="E1024">
        <v>604</v>
      </c>
      <c r="F1024" t="b">
        <v>1</v>
      </c>
      <c r="G1024" t="str">
        <f>HYPERLINK("https://www.google.com/maps/search/?api=1&amp;query=24.6788181,46.82417938", "View Map")</f>
        <v>View Map</v>
      </c>
    </row>
    <row r="1025" spans="1:7" x14ac:dyDescent="0.3">
      <c r="A1025" t="s">
        <v>1724</v>
      </c>
      <c r="B1025" t="s">
        <v>1725</v>
      </c>
      <c r="C1025" t="s">
        <v>9</v>
      </c>
      <c r="D1025" t="s">
        <v>154</v>
      </c>
      <c r="E1025">
        <v>604</v>
      </c>
      <c r="F1025" t="b">
        <v>1</v>
      </c>
      <c r="G1025" t="str">
        <f>HYPERLINK("https://www.google.com/maps/search/?api=1&amp;query=24.69418897,46.69232732", "View Map")</f>
        <v>View Map</v>
      </c>
    </row>
    <row r="1026" spans="1:7" x14ac:dyDescent="0.3">
      <c r="A1026" t="s">
        <v>194</v>
      </c>
      <c r="B1026" t="s">
        <v>1726</v>
      </c>
      <c r="C1026" t="s">
        <v>9</v>
      </c>
      <c r="D1026" t="s">
        <v>154</v>
      </c>
      <c r="E1026">
        <v>604</v>
      </c>
      <c r="F1026" t="b">
        <v>1</v>
      </c>
      <c r="G1026" t="str">
        <f>HYPERLINK("https://www.google.com/maps/search/?api=1&amp;query=24.81411014,46.61353973", "View Map")</f>
        <v>View Map</v>
      </c>
    </row>
    <row r="1027" spans="1:7" x14ac:dyDescent="0.3">
      <c r="A1027" t="s">
        <v>159</v>
      </c>
      <c r="B1027" t="s">
        <v>1727</v>
      </c>
      <c r="C1027" t="s">
        <v>9</v>
      </c>
      <c r="D1027" t="s">
        <v>154</v>
      </c>
      <c r="E1027">
        <v>603</v>
      </c>
      <c r="F1027" t="b">
        <v>1</v>
      </c>
      <c r="G1027" t="str">
        <f>HYPERLINK("https://www.google.com/maps/search/?api=1&amp;query=24.58203389,46.59985164", "View Map")</f>
        <v>View Map</v>
      </c>
    </row>
    <row r="1028" spans="1:7" x14ac:dyDescent="0.3">
      <c r="A1028" t="s">
        <v>27</v>
      </c>
      <c r="B1028" t="s">
        <v>1728</v>
      </c>
      <c r="C1028" t="s">
        <v>9</v>
      </c>
      <c r="D1028" t="s">
        <v>10</v>
      </c>
      <c r="E1028">
        <v>603</v>
      </c>
      <c r="F1028" t="b">
        <v>1</v>
      </c>
      <c r="G1028" t="str">
        <f>HYPERLINK("https://www.google.com/maps/search/?api=1&amp;query=24.83222163,46.88963968", "View Map")</f>
        <v>View Map</v>
      </c>
    </row>
    <row r="1029" spans="1:7" x14ac:dyDescent="0.3">
      <c r="A1029" t="s">
        <v>1729</v>
      </c>
      <c r="B1029" t="s">
        <v>1730</v>
      </c>
      <c r="C1029" t="s">
        <v>9</v>
      </c>
      <c r="D1029" t="s">
        <v>154</v>
      </c>
      <c r="E1029">
        <v>602</v>
      </c>
      <c r="F1029" t="b">
        <v>1</v>
      </c>
      <c r="G1029" t="str">
        <f>HYPERLINK("https://www.google.com/maps/search/?api=1&amp;query=24.79165838,46.79803889", "View Map")</f>
        <v>View Map</v>
      </c>
    </row>
    <row r="1030" spans="1:7" x14ac:dyDescent="0.3">
      <c r="A1030" t="s">
        <v>1731</v>
      </c>
      <c r="B1030" t="s">
        <v>1732</v>
      </c>
      <c r="C1030" t="s">
        <v>9</v>
      </c>
      <c r="D1030" t="s">
        <v>154</v>
      </c>
      <c r="E1030">
        <v>602</v>
      </c>
      <c r="F1030" t="b">
        <v>1</v>
      </c>
      <c r="G1030" t="str">
        <f>HYPERLINK("https://www.google.com/maps/search/?api=1&amp;query=24.5773279,46.78669752", "View Map")</f>
        <v>View Map</v>
      </c>
    </row>
    <row r="1031" spans="1:7" x14ac:dyDescent="0.3">
      <c r="A1031" t="s">
        <v>1733</v>
      </c>
      <c r="B1031" t="s">
        <v>1734</v>
      </c>
      <c r="C1031" t="s">
        <v>9</v>
      </c>
      <c r="D1031" t="s">
        <v>154</v>
      </c>
      <c r="E1031">
        <v>602</v>
      </c>
      <c r="F1031" t="b">
        <v>1</v>
      </c>
      <c r="G1031" t="str">
        <f>HYPERLINK("https://www.google.com/maps/search/?api=1&amp;query=24.60056404,46.75534812", "View Map")</f>
        <v>View Map</v>
      </c>
    </row>
    <row r="1032" spans="1:7" x14ac:dyDescent="0.3">
      <c r="A1032" t="s">
        <v>1735</v>
      </c>
      <c r="B1032" t="s">
        <v>1736</v>
      </c>
      <c r="C1032" t="s">
        <v>9</v>
      </c>
      <c r="D1032" t="s">
        <v>154</v>
      </c>
      <c r="E1032">
        <v>602</v>
      </c>
      <c r="F1032" t="b">
        <v>1</v>
      </c>
      <c r="G1032" t="str">
        <f>HYPERLINK("https://www.google.com/maps/search/?api=1&amp;query=24.78614356,46.69842723", "View Map")</f>
        <v>View Map</v>
      </c>
    </row>
    <row r="1033" spans="1:7" x14ac:dyDescent="0.3">
      <c r="A1033" t="s">
        <v>27</v>
      </c>
      <c r="B1033" t="s">
        <v>1737</v>
      </c>
      <c r="C1033" t="s">
        <v>9</v>
      </c>
      <c r="D1033" t="s">
        <v>154</v>
      </c>
      <c r="E1033">
        <v>602</v>
      </c>
      <c r="F1033" t="b">
        <v>1</v>
      </c>
      <c r="G1033" t="str">
        <f>HYPERLINK("https://www.google.com/maps/search/?api=1&amp;query=24.6628,46.5247", "View Map")</f>
        <v>View Map</v>
      </c>
    </row>
    <row r="1034" spans="1:7" x14ac:dyDescent="0.3">
      <c r="A1034" t="s">
        <v>194</v>
      </c>
      <c r="B1034" t="s">
        <v>1738</v>
      </c>
      <c r="C1034" t="s">
        <v>9</v>
      </c>
      <c r="D1034" t="s">
        <v>10</v>
      </c>
      <c r="E1034">
        <v>601</v>
      </c>
      <c r="F1034" t="b">
        <v>1</v>
      </c>
      <c r="G1034" t="str">
        <f>HYPERLINK("https://www.google.com/maps/search/?api=1&amp;query=24.78080606,46.90159083", "View Map")</f>
        <v>View Map</v>
      </c>
    </row>
    <row r="1035" spans="1:7" x14ac:dyDescent="0.3">
      <c r="A1035" t="s">
        <v>411</v>
      </c>
      <c r="B1035" t="s">
        <v>1739</v>
      </c>
      <c r="C1035" t="s">
        <v>9</v>
      </c>
      <c r="D1035" t="s">
        <v>154</v>
      </c>
      <c r="E1035">
        <v>600</v>
      </c>
      <c r="F1035" t="b">
        <v>1</v>
      </c>
      <c r="G1035" t="str">
        <f>HYPERLINK("https://www.google.com/maps/search/?api=1&amp;query=24.77706843,46.78446967", "View Map")</f>
        <v>View Map</v>
      </c>
    </row>
    <row r="1036" spans="1:7" x14ac:dyDescent="0.3">
      <c r="A1036" t="s">
        <v>1740</v>
      </c>
      <c r="B1036" t="s">
        <v>1741</v>
      </c>
      <c r="C1036" t="s">
        <v>9</v>
      </c>
      <c r="D1036" t="s">
        <v>154</v>
      </c>
      <c r="E1036">
        <v>599</v>
      </c>
      <c r="F1036" t="b">
        <v>1</v>
      </c>
      <c r="G1036" t="str">
        <f>HYPERLINK("https://www.google.com/maps/search/?api=1&amp;query=24.69711241,46.78146253", "View Map")</f>
        <v>View Map</v>
      </c>
    </row>
    <row r="1037" spans="1:7" x14ac:dyDescent="0.3">
      <c r="A1037" t="s">
        <v>19</v>
      </c>
      <c r="B1037" t="s">
        <v>1742</v>
      </c>
      <c r="C1037" t="s">
        <v>9</v>
      </c>
      <c r="D1037" t="s">
        <v>10</v>
      </c>
      <c r="E1037">
        <v>599</v>
      </c>
      <c r="F1037" t="b">
        <v>1</v>
      </c>
      <c r="G1037" t="str">
        <f>HYPERLINK("https://www.google.com/maps/search/?api=1&amp;query=24.79599343,46.60470606", "View Map")</f>
        <v>View Map</v>
      </c>
    </row>
    <row r="1038" spans="1:7" x14ac:dyDescent="0.3">
      <c r="A1038" t="s">
        <v>1743</v>
      </c>
      <c r="B1038" t="s">
        <v>1744</v>
      </c>
      <c r="C1038" t="s">
        <v>9</v>
      </c>
      <c r="D1038" t="s">
        <v>154</v>
      </c>
      <c r="E1038">
        <v>598</v>
      </c>
      <c r="F1038" t="b">
        <v>1</v>
      </c>
      <c r="G1038" t="str">
        <f>HYPERLINK("https://www.google.com/maps/search/?api=1&amp;query=24.75010793,46.75223719", "View Map")</f>
        <v>View Map</v>
      </c>
    </row>
    <row r="1039" spans="1:7" x14ac:dyDescent="0.3">
      <c r="A1039" t="s">
        <v>19</v>
      </c>
      <c r="B1039" t="s">
        <v>1745</v>
      </c>
      <c r="C1039" t="s">
        <v>9</v>
      </c>
      <c r="D1039" t="s">
        <v>154</v>
      </c>
      <c r="E1039">
        <v>598</v>
      </c>
      <c r="F1039" t="b">
        <v>1</v>
      </c>
      <c r="G1039" t="str">
        <f>HYPERLINK("https://www.google.com/maps/search/?api=1&amp;query=24.81336981,46.60082727", "View Map")</f>
        <v>View Map</v>
      </c>
    </row>
    <row r="1040" spans="1:7" x14ac:dyDescent="0.3">
      <c r="A1040" t="s">
        <v>1746</v>
      </c>
      <c r="B1040" t="s">
        <v>1747</v>
      </c>
      <c r="C1040" t="s">
        <v>9</v>
      </c>
      <c r="D1040" t="s">
        <v>154</v>
      </c>
      <c r="E1040">
        <v>597</v>
      </c>
      <c r="F1040" t="b">
        <v>1</v>
      </c>
      <c r="G1040" t="str">
        <f>HYPERLINK("https://www.google.com/maps/search/?api=1&amp;query=24.58322524,46.52242644", "View Map")</f>
        <v>View Map</v>
      </c>
    </row>
    <row r="1041" spans="1:7" x14ac:dyDescent="0.3">
      <c r="A1041" t="s">
        <v>1748</v>
      </c>
      <c r="B1041" t="s">
        <v>1749</v>
      </c>
      <c r="C1041" t="s">
        <v>9</v>
      </c>
      <c r="D1041" t="s">
        <v>154</v>
      </c>
      <c r="E1041">
        <v>597</v>
      </c>
      <c r="F1041" t="b">
        <v>1</v>
      </c>
      <c r="G1041" t="str">
        <f>HYPERLINK("https://www.google.com/maps/search/?api=1&amp;query=24.66026452,46.79987258", "View Map")</f>
        <v>View Map</v>
      </c>
    </row>
    <row r="1042" spans="1:7" x14ac:dyDescent="0.3">
      <c r="A1042" t="s">
        <v>607</v>
      </c>
      <c r="B1042" t="s">
        <v>1750</v>
      </c>
      <c r="C1042" t="s">
        <v>9</v>
      </c>
      <c r="D1042" t="s">
        <v>154</v>
      </c>
      <c r="E1042">
        <v>595</v>
      </c>
      <c r="F1042" t="b">
        <v>1</v>
      </c>
      <c r="G1042" t="str">
        <f>HYPERLINK("https://www.google.com/maps/search/?api=1&amp;query=24.52613511,46.70057587", "View Map")</f>
        <v>View Map</v>
      </c>
    </row>
    <row r="1043" spans="1:7" x14ac:dyDescent="0.3">
      <c r="A1043" t="s">
        <v>1751</v>
      </c>
      <c r="B1043" t="s">
        <v>1752</v>
      </c>
      <c r="C1043" t="s">
        <v>9</v>
      </c>
      <c r="D1043" t="s">
        <v>154</v>
      </c>
      <c r="E1043">
        <v>595</v>
      </c>
      <c r="F1043" t="b">
        <v>1</v>
      </c>
      <c r="G1043" t="str">
        <f>HYPERLINK("https://www.google.com/maps/search/?api=1&amp;query=24.77990345,46.77837668", "View Map")</f>
        <v>View Map</v>
      </c>
    </row>
    <row r="1044" spans="1:7" x14ac:dyDescent="0.3">
      <c r="A1044" t="s">
        <v>1753</v>
      </c>
      <c r="B1044" t="s">
        <v>1754</v>
      </c>
      <c r="C1044" t="s">
        <v>9</v>
      </c>
      <c r="D1044" t="s">
        <v>154</v>
      </c>
      <c r="E1044">
        <v>595</v>
      </c>
      <c r="F1044" t="b">
        <v>1</v>
      </c>
      <c r="G1044" t="str">
        <f>HYPERLINK("https://www.google.com/maps/search/?api=1&amp;query=24.82941374,46.74639906", "View Map")</f>
        <v>View Map</v>
      </c>
    </row>
    <row r="1045" spans="1:7" x14ac:dyDescent="0.3">
      <c r="A1045" t="s">
        <v>1755</v>
      </c>
      <c r="B1045" t="s">
        <v>1756</v>
      </c>
      <c r="C1045" t="s">
        <v>9</v>
      </c>
      <c r="D1045" t="s">
        <v>154</v>
      </c>
      <c r="E1045">
        <v>594</v>
      </c>
      <c r="F1045" t="b">
        <v>1</v>
      </c>
      <c r="G1045" t="str">
        <f>HYPERLINK("https://www.google.com/maps/search/?api=1&amp;query=24.821878,46.88706206", "View Map")</f>
        <v>View Map</v>
      </c>
    </row>
    <row r="1046" spans="1:7" x14ac:dyDescent="0.3">
      <c r="A1046" t="s">
        <v>159</v>
      </c>
      <c r="B1046" t="s">
        <v>1757</v>
      </c>
      <c r="C1046" t="s">
        <v>9</v>
      </c>
      <c r="D1046" t="s">
        <v>154</v>
      </c>
      <c r="E1046">
        <v>592</v>
      </c>
      <c r="F1046" t="b">
        <v>1</v>
      </c>
      <c r="G1046" t="str">
        <f>HYPERLINK("https://www.google.com/maps/search/?api=1&amp;query=24.55454811,46.63405477", "View Map")</f>
        <v>View Map</v>
      </c>
    </row>
    <row r="1047" spans="1:7" x14ac:dyDescent="0.3">
      <c r="A1047" t="s">
        <v>1758</v>
      </c>
      <c r="B1047" t="s">
        <v>1759</v>
      </c>
      <c r="C1047" t="s">
        <v>9</v>
      </c>
      <c r="D1047" t="s">
        <v>154</v>
      </c>
      <c r="E1047">
        <v>592</v>
      </c>
      <c r="F1047" t="b">
        <v>1</v>
      </c>
      <c r="G1047" t="str">
        <f>HYPERLINK("https://www.google.com/maps/search/?api=1&amp;query=24.63917976,46.6589951", "View Map")</f>
        <v>View Map</v>
      </c>
    </row>
    <row r="1048" spans="1:7" x14ac:dyDescent="0.3">
      <c r="A1048" t="s">
        <v>27</v>
      </c>
      <c r="B1048" t="s">
        <v>1760</v>
      </c>
      <c r="C1048" t="s">
        <v>9</v>
      </c>
      <c r="D1048" t="s">
        <v>154</v>
      </c>
      <c r="E1048">
        <v>592</v>
      </c>
      <c r="F1048" t="b">
        <v>1</v>
      </c>
      <c r="G1048" t="str">
        <f>HYPERLINK("https://www.google.com/maps/search/?api=1&amp;query=24.92334319,46.82037301", "View Map")</f>
        <v>View Map</v>
      </c>
    </row>
    <row r="1049" spans="1:7" x14ac:dyDescent="0.3">
      <c r="A1049" t="s">
        <v>159</v>
      </c>
      <c r="B1049" t="s">
        <v>1761</v>
      </c>
      <c r="C1049" t="s">
        <v>9</v>
      </c>
      <c r="D1049" t="s">
        <v>154</v>
      </c>
      <c r="E1049">
        <v>591</v>
      </c>
      <c r="F1049" t="b">
        <v>0</v>
      </c>
      <c r="G1049" t="str">
        <f>HYPERLINK("https://www.google.com/maps/search/?api=1&amp;query=24.68195315,46.57841689", "View Map")</f>
        <v>View Map</v>
      </c>
    </row>
    <row r="1050" spans="1:7" x14ac:dyDescent="0.3">
      <c r="A1050" t="s">
        <v>1762</v>
      </c>
      <c r="B1050" t="s">
        <v>1763</v>
      </c>
      <c r="C1050" t="s">
        <v>9</v>
      </c>
      <c r="D1050" t="s">
        <v>154</v>
      </c>
      <c r="E1050">
        <v>591</v>
      </c>
      <c r="F1050" t="b">
        <v>1</v>
      </c>
      <c r="G1050" t="str">
        <f>HYPERLINK("https://www.google.com/maps/search/?api=1&amp;query=24.82671916,46.65332571", "View Map")</f>
        <v>View Map</v>
      </c>
    </row>
    <row r="1051" spans="1:7" x14ac:dyDescent="0.3">
      <c r="A1051" t="s">
        <v>1764</v>
      </c>
      <c r="B1051" t="s">
        <v>1765</v>
      </c>
      <c r="C1051" t="s">
        <v>9</v>
      </c>
      <c r="D1051" t="s">
        <v>154</v>
      </c>
      <c r="E1051">
        <v>590</v>
      </c>
      <c r="F1051" t="b">
        <v>1</v>
      </c>
      <c r="G1051" t="str">
        <f>HYPERLINK("https://www.google.com/maps/search/?api=1&amp;query=24.79919183,46.90345477", "View Map")</f>
        <v>View Map</v>
      </c>
    </row>
    <row r="1052" spans="1:7" x14ac:dyDescent="0.3">
      <c r="A1052" t="s">
        <v>194</v>
      </c>
      <c r="B1052" t="s">
        <v>1766</v>
      </c>
      <c r="C1052" t="s">
        <v>9</v>
      </c>
      <c r="D1052" t="s">
        <v>154</v>
      </c>
      <c r="E1052">
        <v>590</v>
      </c>
      <c r="F1052" t="b">
        <v>1</v>
      </c>
      <c r="G1052" t="str">
        <f>HYPERLINK("https://www.google.com/maps/search/?api=1&amp;query=24.81519369,46.74698505", "View Map")</f>
        <v>View Map</v>
      </c>
    </row>
    <row r="1053" spans="1:7" x14ac:dyDescent="0.3">
      <c r="A1053" t="s">
        <v>1767</v>
      </c>
      <c r="B1053" t="s">
        <v>1768</v>
      </c>
      <c r="C1053" t="s">
        <v>9</v>
      </c>
      <c r="D1053" t="s">
        <v>154</v>
      </c>
      <c r="E1053">
        <v>589</v>
      </c>
      <c r="F1053" t="b">
        <v>1</v>
      </c>
      <c r="G1053" t="str">
        <f>HYPERLINK("https://www.google.com/maps/search/?api=1&amp;query=24.7972609,46.65974272", "View Map")</f>
        <v>View Map</v>
      </c>
    </row>
    <row r="1054" spans="1:7" x14ac:dyDescent="0.3">
      <c r="A1054" t="s">
        <v>1769</v>
      </c>
      <c r="B1054" t="s">
        <v>1770</v>
      </c>
      <c r="C1054" t="s">
        <v>9</v>
      </c>
      <c r="D1054" t="s">
        <v>154</v>
      </c>
      <c r="E1054">
        <v>588</v>
      </c>
      <c r="F1054" t="b">
        <v>1</v>
      </c>
      <c r="G1054" t="str">
        <f>HYPERLINK("https://www.google.com/maps/search/?api=1&amp;query=24.3947425,46.66050342", "View Map")</f>
        <v>View Map</v>
      </c>
    </row>
    <row r="1055" spans="1:7" x14ac:dyDescent="0.3">
      <c r="A1055" t="s">
        <v>27</v>
      </c>
      <c r="B1055" t="s">
        <v>1771</v>
      </c>
      <c r="C1055" t="s">
        <v>9</v>
      </c>
      <c r="D1055" t="s">
        <v>154</v>
      </c>
      <c r="E1055">
        <v>587</v>
      </c>
      <c r="F1055" t="b">
        <v>1</v>
      </c>
      <c r="G1055" t="str">
        <f>HYPERLINK("https://www.google.com/maps/search/?api=1&amp;query=24.57526456,46.75556312", "View Map")</f>
        <v>View Map</v>
      </c>
    </row>
    <row r="1056" spans="1:7" x14ac:dyDescent="0.3">
      <c r="A1056" t="s">
        <v>1772</v>
      </c>
      <c r="B1056" t="s">
        <v>1773</v>
      </c>
      <c r="C1056" t="s">
        <v>9</v>
      </c>
      <c r="D1056" t="s">
        <v>154</v>
      </c>
      <c r="E1056">
        <v>586</v>
      </c>
      <c r="F1056" t="b">
        <v>1</v>
      </c>
      <c r="G1056" t="str">
        <f>HYPERLINK("https://www.google.com/maps/search/?api=1&amp;query=24.56065423,46.68798093", "View Map")</f>
        <v>View Map</v>
      </c>
    </row>
    <row r="1057" spans="1:7" x14ac:dyDescent="0.3">
      <c r="A1057" t="s">
        <v>27</v>
      </c>
      <c r="B1057" t="s">
        <v>1774</v>
      </c>
      <c r="C1057" t="s">
        <v>9</v>
      </c>
      <c r="D1057" t="s">
        <v>154</v>
      </c>
      <c r="E1057">
        <v>586</v>
      </c>
      <c r="F1057" t="b">
        <v>1</v>
      </c>
      <c r="G1057" t="str">
        <f>HYPERLINK("https://www.google.com/maps/search/?api=1&amp;query=24.85319071,46.66450634", "View Map")</f>
        <v>View Map</v>
      </c>
    </row>
    <row r="1058" spans="1:7" x14ac:dyDescent="0.3">
      <c r="A1058" t="s">
        <v>1775</v>
      </c>
      <c r="B1058" t="s">
        <v>1776</v>
      </c>
      <c r="C1058" t="s">
        <v>9</v>
      </c>
      <c r="D1058" t="s">
        <v>154</v>
      </c>
      <c r="E1058">
        <v>586</v>
      </c>
      <c r="F1058" t="b">
        <v>1</v>
      </c>
      <c r="G1058" t="str">
        <f>HYPERLINK("https://www.google.com/maps/search/?api=1&amp;query=24.62227973,46.52827251", "View Map")</f>
        <v>View Map</v>
      </c>
    </row>
    <row r="1059" spans="1:7" x14ac:dyDescent="0.3">
      <c r="A1059" t="s">
        <v>27</v>
      </c>
      <c r="B1059" t="s">
        <v>1777</v>
      </c>
      <c r="C1059" t="s">
        <v>9</v>
      </c>
      <c r="D1059" t="s">
        <v>154</v>
      </c>
      <c r="E1059">
        <v>586</v>
      </c>
      <c r="F1059" t="b">
        <v>1</v>
      </c>
      <c r="G1059" t="str">
        <f>HYPERLINK("https://www.google.com/maps/search/?api=1&amp;query=24.83131162,46.58232585", "View Map")</f>
        <v>View Map</v>
      </c>
    </row>
    <row r="1060" spans="1:7" x14ac:dyDescent="0.3">
      <c r="A1060" t="s">
        <v>27</v>
      </c>
      <c r="B1060" t="s">
        <v>1778</v>
      </c>
      <c r="C1060" t="s">
        <v>9</v>
      </c>
      <c r="D1060" t="s">
        <v>154</v>
      </c>
      <c r="E1060">
        <v>586</v>
      </c>
      <c r="F1060" t="b">
        <v>1</v>
      </c>
      <c r="G1060" t="str">
        <f>HYPERLINK("https://www.google.com/maps/search/?api=1&amp;query=24.84074605,46.75160164", "View Map")</f>
        <v>View Map</v>
      </c>
    </row>
    <row r="1061" spans="1:7" x14ac:dyDescent="0.3">
      <c r="A1061" t="s">
        <v>765</v>
      </c>
      <c r="B1061" t="s">
        <v>1779</v>
      </c>
      <c r="C1061" t="s">
        <v>9</v>
      </c>
      <c r="D1061" t="s">
        <v>154</v>
      </c>
      <c r="E1061">
        <v>585</v>
      </c>
      <c r="F1061" t="b">
        <v>1</v>
      </c>
      <c r="G1061" t="str">
        <f>HYPERLINK("https://www.google.com/maps/search/?api=1&amp;query=24.72069939,46.78038202", "View Map")</f>
        <v>View Map</v>
      </c>
    </row>
    <row r="1062" spans="1:7" x14ac:dyDescent="0.3">
      <c r="A1062" t="s">
        <v>27</v>
      </c>
      <c r="B1062" t="s">
        <v>1780</v>
      </c>
      <c r="C1062" t="s">
        <v>9</v>
      </c>
      <c r="D1062" t="s">
        <v>154</v>
      </c>
      <c r="E1062">
        <v>584</v>
      </c>
      <c r="F1062" t="b">
        <v>1</v>
      </c>
      <c r="G1062" t="str">
        <f>HYPERLINK("https://www.google.com/maps/search/?api=1&amp;query=24.84607118,46.6320328", "View Map")</f>
        <v>View Map</v>
      </c>
    </row>
    <row r="1063" spans="1:7" x14ac:dyDescent="0.3">
      <c r="A1063" t="s">
        <v>1731</v>
      </c>
      <c r="B1063" t="s">
        <v>1781</v>
      </c>
      <c r="C1063" t="s">
        <v>9</v>
      </c>
      <c r="D1063" t="s">
        <v>154</v>
      </c>
      <c r="E1063">
        <v>584</v>
      </c>
      <c r="F1063" t="b">
        <v>1</v>
      </c>
      <c r="G1063" t="str">
        <f>HYPERLINK("https://www.google.com/maps/search/?api=1&amp;query=24.79404111,46.74193226", "View Map")</f>
        <v>View Map</v>
      </c>
    </row>
    <row r="1064" spans="1:7" x14ac:dyDescent="0.3">
      <c r="A1064" t="s">
        <v>796</v>
      </c>
      <c r="B1064" t="s">
        <v>1782</v>
      </c>
      <c r="C1064" t="s">
        <v>9</v>
      </c>
      <c r="D1064" t="s">
        <v>154</v>
      </c>
      <c r="E1064">
        <v>583</v>
      </c>
      <c r="F1064" t="b">
        <v>1</v>
      </c>
      <c r="G1064" t="str">
        <f>HYPERLINK("https://www.google.com/maps/search/?api=1&amp;query=24.67908754,46.59760152", "View Map")</f>
        <v>View Map</v>
      </c>
    </row>
    <row r="1065" spans="1:7" x14ac:dyDescent="0.3">
      <c r="A1065" t="s">
        <v>1783</v>
      </c>
      <c r="B1065" t="s">
        <v>1784</v>
      </c>
      <c r="C1065" t="s">
        <v>9</v>
      </c>
      <c r="D1065" t="s">
        <v>154</v>
      </c>
      <c r="E1065">
        <v>583</v>
      </c>
      <c r="F1065" t="b">
        <v>0</v>
      </c>
      <c r="G1065" t="str">
        <f>HYPERLINK("https://www.google.com/maps/search/?api=1&amp;query=24.605067,46.594343", "View Map")</f>
        <v>View Map</v>
      </c>
    </row>
    <row r="1066" spans="1:7" x14ac:dyDescent="0.3">
      <c r="A1066" t="s">
        <v>1211</v>
      </c>
      <c r="B1066" t="s">
        <v>1785</v>
      </c>
      <c r="C1066" t="s">
        <v>9</v>
      </c>
      <c r="D1066" t="s">
        <v>154</v>
      </c>
      <c r="E1066">
        <v>582</v>
      </c>
      <c r="F1066" t="b">
        <v>1</v>
      </c>
      <c r="G1066" t="str">
        <f>HYPERLINK("https://www.google.com/maps/search/?api=1&amp;query=24.70747689,46.77644849", "View Map")</f>
        <v>View Map</v>
      </c>
    </row>
    <row r="1067" spans="1:7" x14ac:dyDescent="0.3">
      <c r="A1067" t="s">
        <v>1786</v>
      </c>
      <c r="B1067" t="s">
        <v>1787</v>
      </c>
      <c r="C1067" t="s">
        <v>9</v>
      </c>
      <c r="D1067" t="s">
        <v>154</v>
      </c>
      <c r="E1067">
        <v>582</v>
      </c>
      <c r="F1067" t="b">
        <v>0</v>
      </c>
      <c r="G1067" t="str">
        <f>HYPERLINK("https://www.google.com/maps/search/?api=1&amp;query=24.64501956,46.73064645", "View Map")</f>
        <v>View Map</v>
      </c>
    </row>
    <row r="1068" spans="1:7" x14ac:dyDescent="0.3">
      <c r="A1068" t="s">
        <v>1788</v>
      </c>
      <c r="B1068" t="s">
        <v>1789</v>
      </c>
      <c r="C1068" t="s">
        <v>9</v>
      </c>
      <c r="D1068" t="s">
        <v>154</v>
      </c>
      <c r="E1068">
        <v>582</v>
      </c>
      <c r="F1068" t="b">
        <v>1</v>
      </c>
      <c r="G1068" t="str">
        <f>HYPERLINK("https://www.google.com/maps/search/?api=1&amp;query=24.57560634,46.68328169", "View Map")</f>
        <v>View Map</v>
      </c>
    </row>
    <row r="1069" spans="1:7" x14ac:dyDescent="0.3">
      <c r="A1069" t="s">
        <v>1790</v>
      </c>
      <c r="B1069" t="s">
        <v>1791</v>
      </c>
      <c r="C1069" t="s">
        <v>9</v>
      </c>
      <c r="D1069" t="s">
        <v>154</v>
      </c>
      <c r="E1069">
        <v>581</v>
      </c>
      <c r="F1069" t="b">
        <v>1</v>
      </c>
      <c r="G1069" t="str">
        <f>HYPERLINK("https://www.google.com/maps/search/?api=1&amp;query=24.8054749,46.86762852", "View Map")</f>
        <v>View Map</v>
      </c>
    </row>
    <row r="1070" spans="1:7" x14ac:dyDescent="0.3">
      <c r="A1070" t="s">
        <v>1792</v>
      </c>
      <c r="B1070" t="s">
        <v>1793</v>
      </c>
      <c r="C1070" t="s">
        <v>9</v>
      </c>
      <c r="D1070" t="s">
        <v>154</v>
      </c>
      <c r="E1070">
        <v>581</v>
      </c>
      <c r="F1070" t="b">
        <v>1</v>
      </c>
      <c r="G1070" t="str">
        <f>HYPERLINK("https://www.google.com/maps/search/?api=1&amp;query=24.77143772,46.74776391", "View Map")</f>
        <v>View Map</v>
      </c>
    </row>
    <row r="1071" spans="1:7" x14ac:dyDescent="0.3">
      <c r="A1071" t="s">
        <v>1794</v>
      </c>
      <c r="B1071" t="s">
        <v>1795</v>
      </c>
      <c r="C1071" t="s">
        <v>9</v>
      </c>
      <c r="D1071" t="s">
        <v>154</v>
      </c>
      <c r="E1071">
        <v>580</v>
      </c>
      <c r="F1071" t="b">
        <v>1</v>
      </c>
      <c r="G1071" t="str">
        <f>HYPERLINK("https://www.google.com/maps/search/?api=1&amp;query=24.53020796,46.7136984", "View Map")</f>
        <v>View Map</v>
      </c>
    </row>
    <row r="1072" spans="1:7" x14ac:dyDescent="0.3">
      <c r="A1072" t="s">
        <v>1796</v>
      </c>
      <c r="B1072" t="s">
        <v>1797</v>
      </c>
      <c r="C1072" t="s">
        <v>9</v>
      </c>
      <c r="D1072" t="s">
        <v>154</v>
      </c>
      <c r="E1072">
        <v>579</v>
      </c>
      <c r="F1072" t="b">
        <v>1</v>
      </c>
      <c r="G1072" t="str">
        <f>HYPERLINK("https://www.google.com/maps/search/?api=1&amp;query=24.76598521,46.74771817", "View Map")</f>
        <v>View Map</v>
      </c>
    </row>
    <row r="1073" spans="1:7" x14ac:dyDescent="0.3">
      <c r="A1073" t="s">
        <v>1798</v>
      </c>
      <c r="B1073" t="s">
        <v>1799</v>
      </c>
      <c r="C1073" t="s">
        <v>9</v>
      </c>
      <c r="D1073" t="s">
        <v>154</v>
      </c>
      <c r="E1073">
        <v>578</v>
      </c>
      <c r="F1073" t="b">
        <v>1</v>
      </c>
      <c r="G1073" t="str">
        <f>HYPERLINK("https://www.google.com/maps/search/?api=1&amp;query=24.80766089,46.7991815", "View Map")</f>
        <v>View Map</v>
      </c>
    </row>
    <row r="1074" spans="1:7" x14ac:dyDescent="0.3">
      <c r="A1074" t="s">
        <v>1800</v>
      </c>
      <c r="B1074" t="s">
        <v>1801</v>
      </c>
      <c r="C1074" t="s">
        <v>9</v>
      </c>
      <c r="D1074" t="s">
        <v>154</v>
      </c>
      <c r="E1074">
        <v>578</v>
      </c>
      <c r="F1074" t="b">
        <v>1</v>
      </c>
      <c r="G1074" t="str">
        <f>HYPERLINK("https://www.google.com/maps/search/?api=1&amp;query=24.81616492,46.64085398", "View Map")</f>
        <v>View Map</v>
      </c>
    </row>
    <row r="1075" spans="1:7" x14ac:dyDescent="0.3">
      <c r="A1075" t="s">
        <v>27</v>
      </c>
      <c r="B1075" t="s">
        <v>1802</v>
      </c>
      <c r="C1075" t="s">
        <v>9</v>
      </c>
      <c r="D1075" t="s">
        <v>154</v>
      </c>
      <c r="E1075">
        <v>577</v>
      </c>
      <c r="F1075" t="b">
        <v>1</v>
      </c>
      <c r="G1075" t="str">
        <f>HYPERLINK("https://www.google.com/maps/search/?api=1&amp;query=24.84047586,46.632355", "View Map")</f>
        <v>View Map</v>
      </c>
    </row>
    <row r="1076" spans="1:7" x14ac:dyDescent="0.3">
      <c r="A1076" t="s">
        <v>1803</v>
      </c>
      <c r="B1076" t="s">
        <v>1804</v>
      </c>
      <c r="C1076" t="s">
        <v>9</v>
      </c>
      <c r="D1076" t="s">
        <v>154</v>
      </c>
      <c r="E1076">
        <v>577</v>
      </c>
      <c r="F1076" t="b">
        <v>1</v>
      </c>
      <c r="G1076" t="str">
        <f>HYPERLINK("https://www.google.com/maps/search/?api=1&amp;query=24.50393854,46.62759254", "View Map")</f>
        <v>View Map</v>
      </c>
    </row>
    <row r="1077" spans="1:7" x14ac:dyDescent="0.3">
      <c r="A1077" t="s">
        <v>1805</v>
      </c>
      <c r="B1077" t="s">
        <v>1806</v>
      </c>
      <c r="C1077" t="s">
        <v>9</v>
      </c>
      <c r="D1077" t="s">
        <v>154</v>
      </c>
      <c r="E1077">
        <v>577</v>
      </c>
      <c r="F1077" t="b">
        <v>1</v>
      </c>
      <c r="G1077" t="str">
        <f>HYPERLINK("https://www.google.com/maps/search/?api=1&amp;query=24.78744643,46.89643378", "View Map")</f>
        <v>View Map</v>
      </c>
    </row>
    <row r="1078" spans="1:7" x14ac:dyDescent="0.3">
      <c r="A1078" t="s">
        <v>1807</v>
      </c>
      <c r="B1078" t="s">
        <v>1808</v>
      </c>
      <c r="C1078" t="s">
        <v>9</v>
      </c>
      <c r="D1078" t="s">
        <v>154</v>
      </c>
      <c r="E1078">
        <v>577</v>
      </c>
      <c r="F1078" t="b">
        <v>1</v>
      </c>
      <c r="G1078" t="str">
        <f>HYPERLINK("https://www.google.com/maps/search/?api=1&amp;query=24.57908343,46.59316279", "View Map")</f>
        <v>View Map</v>
      </c>
    </row>
    <row r="1079" spans="1:7" x14ac:dyDescent="0.3">
      <c r="A1079" t="s">
        <v>27</v>
      </c>
      <c r="B1079" t="s">
        <v>1809</v>
      </c>
      <c r="C1079" t="s">
        <v>9</v>
      </c>
      <c r="D1079" t="s">
        <v>154</v>
      </c>
      <c r="E1079">
        <v>576</v>
      </c>
      <c r="F1079" t="b">
        <v>1</v>
      </c>
      <c r="G1079" t="str">
        <f>HYPERLINK("https://www.google.com/maps/search/?api=1&amp;query=24.6494479,46.76635901", "View Map")</f>
        <v>View Map</v>
      </c>
    </row>
    <row r="1080" spans="1:7" x14ac:dyDescent="0.3">
      <c r="A1080" t="s">
        <v>1810</v>
      </c>
      <c r="B1080" t="s">
        <v>1811</v>
      </c>
      <c r="C1080" t="s">
        <v>9</v>
      </c>
      <c r="D1080" t="s">
        <v>154</v>
      </c>
      <c r="E1080">
        <v>575</v>
      </c>
      <c r="F1080" t="b">
        <v>1</v>
      </c>
      <c r="G1080" t="str">
        <f>HYPERLINK("https://www.google.com/maps/search/?api=1&amp;query=24.80278674,46.73232398", "View Map")</f>
        <v>View Map</v>
      </c>
    </row>
    <row r="1081" spans="1:7" x14ac:dyDescent="0.3">
      <c r="A1081" t="s">
        <v>1812</v>
      </c>
      <c r="B1081" t="s">
        <v>1813</v>
      </c>
      <c r="C1081" t="s">
        <v>9</v>
      </c>
      <c r="D1081" t="s">
        <v>154</v>
      </c>
      <c r="E1081">
        <v>575</v>
      </c>
      <c r="F1081" t="b">
        <v>1</v>
      </c>
      <c r="G1081" t="str">
        <f>HYPERLINK("https://www.google.com/maps/search/?api=1&amp;query=24.71256,46.74539", "View Map")</f>
        <v>View Map</v>
      </c>
    </row>
    <row r="1082" spans="1:7" x14ac:dyDescent="0.3">
      <c r="A1082" t="s">
        <v>1814</v>
      </c>
      <c r="B1082" t="s">
        <v>1815</v>
      </c>
      <c r="C1082" t="s">
        <v>9</v>
      </c>
      <c r="D1082" t="s">
        <v>154</v>
      </c>
      <c r="E1082">
        <v>574</v>
      </c>
      <c r="F1082" t="b">
        <v>1</v>
      </c>
      <c r="G1082" t="str">
        <f>HYPERLINK("https://www.google.com/maps/search/?api=1&amp;query=24.74781716,46.70447247", "View Map")</f>
        <v>View Map</v>
      </c>
    </row>
    <row r="1083" spans="1:7" x14ac:dyDescent="0.3">
      <c r="A1083" t="s">
        <v>1816</v>
      </c>
      <c r="B1083" t="s">
        <v>1817</v>
      </c>
      <c r="C1083" t="s">
        <v>9</v>
      </c>
      <c r="D1083" t="s">
        <v>154</v>
      </c>
      <c r="E1083">
        <v>574</v>
      </c>
      <c r="F1083" t="b">
        <v>1</v>
      </c>
      <c r="G1083" t="str">
        <f>HYPERLINK("https://www.google.com/maps/search/?api=1&amp;query=24.57996283,46.61966684", "View Map")</f>
        <v>View Map</v>
      </c>
    </row>
    <row r="1084" spans="1:7" x14ac:dyDescent="0.3">
      <c r="A1084" t="s">
        <v>1818</v>
      </c>
      <c r="B1084" t="s">
        <v>1819</v>
      </c>
      <c r="C1084" t="s">
        <v>9</v>
      </c>
      <c r="D1084" t="s">
        <v>154</v>
      </c>
      <c r="E1084">
        <v>573</v>
      </c>
      <c r="F1084" t="b">
        <v>1</v>
      </c>
      <c r="G1084" t="str">
        <f>HYPERLINK("https://www.google.com/maps/search/?api=1&amp;query=24.71378224,46.66415674", "View Map")</f>
        <v>View Map</v>
      </c>
    </row>
    <row r="1085" spans="1:7" x14ac:dyDescent="0.3">
      <c r="A1085" t="s">
        <v>1820</v>
      </c>
      <c r="B1085" t="s">
        <v>1821</v>
      </c>
      <c r="C1085" t="s">
        <v>9</v>
      </c>
      <c r="D1085" t="s">
        <v>154</v>
      </c>
      <c r="E1085">
        <v>572</v>
      </c>
      <c r="F1085" t="b">
        <v>1</v>
      </c>
      <c r="G1085" t="str">
        <f>HYPERLINK("https://www.google.com/maps/search/?api=1&amp;query=24.54813471,46.73042738", "View Map")</f>
        <v>View Map</v>
      </c>
    </row>
    <row r="1086" spans="1:7" x14ac:dyDescent="0.3">
      <c r="A1086" t="s">
        <v>27</v>
      </c>
      <c r="B1086" t="s">
        <v>1822</v>
      </c>
      <c r="C1086" t="s">
        <v>9</v>
      </c>
      <c r="D1086" t="s">
        <v>154</v>
      </c>
      <c r="E1086">
        <v>572</v>
      </c>
      <c r="F1086" t="b">
        <v>0</v>
      </c>
      <c r="G1086" t="str">
        <f>HYPERLINK("https://www.google.com/maps/search/?api=1&amp;query=0.0,0.0", "View Map")</f>
        <v>View Map</v>
      </c>
    </row>
    <row r="1087" spans="1:7" x14ac:dyDescent="0.3">
      <c r="A1087" t="s">
        <v>702</v>
      </c>
      <c r="B1087" t="s">
        <v>1823</v>
      </c>
      <c r="C1087" t="s">
        <v>9</v>
      </c>
      <c r="D1087" t="s">
        <v>154</v>
      </c>
      <c r="E1087">
        <v>571</v>
      </c>
      <c r="F1087" t="b">
        <v>1</v>
      </c>
      <c r="G1087" t="str">
        <f>HYPERLINK("https://www.google.com/maps/search/?api=1&amp;query=24.71985871,46.82554207", "View Map")</f>
        <v>View Map</v>
      </c>
    </row>
    <row r="1088" spans="1:7" x14ac:dyDescent="0.3">
      <c r="A1088" t="s">
        <v>1824</v>
      </c>
      <c r="B1088" t="s">
        <v>1825</v>
      </c>
      <c r="C1088" t="s">
        <v>9</v>
      </c>
      <c r="D1088" t="s">
        <v>10</v>
      </c>
      <c r="E1088">
        <v>570</v>
      </c>
      <c r="F1088" t="b">
        <v>1</v>
      </c>
      <c r="G1088" t="str">
        <f>HYPERLINK("https://www.google.com/maps/search/?api=1&amp;query=24.68289251,46.68160418", "View Map")</f>
        <v>View Map</v>
      </c>
    </row>
    <row r="1089" spans="1:7" x14ac:dyDescent="0.3">
      <c r="A1089" t="s">
        <v>27</v>
      </c>
      <c r="B1089" t="s">
        <v>1826</v>
      </c>
      <c r="C1089" t="s">
        <v>9</v>
      </c>
      <c r="D1089" t="s">
        <v>154</v>
      </c>
      <c r="E1089">
        <v>570</v>
      </c>
      <c r="F1089" t="b">
        <v>1</v>
      </c>
      <c r="G1089" t="str">
        <f>HYPERLINK("https://www.google.com/maps/search/?api=1&amp;query=24.85912035,46.65934211", "View Map")</f>
        <v>View Map</v>
      </c>
    </row>
    <row r="1090" spans="1:7" x14ac:dyDescent="0.3">
      <c r="A1090" t="s">
        <v>1827</v>
      </c>
      <c r="B1090" t="s">
        <v>1828</v>
      </c>
      <c r="C1090" t="s">
        <v>9</v>
      </c>
      <c r="D1090" t="s">
        <v>154</v>
      </c>
      <c r="E1090">
        <v>570</v>
      </c>
      <c r="F1090" t="b">
        <v>1</v>
      </c>
      <c r="G1090" t="str">
        <f>HYPERLINK("https://www.google.com/maps/search/?api=1&amp;query=24.78809276,46.64128075", "View Map")</f>
        <v>View Map</v>
      </c>
    </row>
    <row r="1091" spans="1:7" x14ac:dyDescent="0.3">
      <c r="A1091" t="s">
        <v>1829</v>
      </c>
      <c r="B1091" t="s">
        <v>1830</v>
      </c>
      <c r="C1091" t="s">
        <v>9</v>
      </c>
      <c r="D1091" t="s">
        <v>154</v>
      </c>
      <c r="E1091">
        <v>569</v>
      </c>
      <c r="F1091" t="b">
        <v>1</v>
      </c>
      <c r="G1091" t="str">
        <f>HYPERLINK("https://www.google.com/maps/search/?api=1&amp;query=24.5756853,46.76371107", "View Map")</f>
        <v>View Map</v>
      </c>
    </row>
    <row r="1092" spans="1:7" x14ac:dyDescent="0.3">
      <c r="A1092" t="s">
        <v>159</v>
      </c>
      <c r="B1092" t="s">
        <v>1831</v>
      </c>
      <c r="C1092" t="s">
        <v>9</v>
      </c>
      <c r="D1092" t="s">
        <v>154</v>
      </c>
      <c r="E1092">
        <v>568</v>
      </c>
      <c r="F1092" t="b">
        <v>1</v>
      </c>
      <c r="G1092" t="str">
        <f>HYPERLINK("https://www.google.com/maps/search/?api=1&amp;query=24.55363955,46.6674507", "View Map")</f>
        <v>View Map</v>
      </c>
    </row>
    <row r="1093" spans="1:7" x14ac:dyDescent="0.3">
      <c r="A1093" t="s">
        <v>1832</v>
      </c>
      <c r="B1093" t="s">
        <v>1833</v>
      </c>
      <c r="C1093" t="s">
        <v>9</v>
      </c>
      <c r="D1093" t="s">
        <v>154</v>
      </c>
      <c r="E1093">
        <v>567</v>
      </c>
      <c r="F1093" t="b">
        <v>1</v>
      </c>
      <c r="G1093" t="str">
        <f>HYPERLINK("https://www.google.com/maps/search/?api=1&amp;query=24.81973682,46.77088875", "View Map")</f>
        <v>View Map</v>
      </c>
    </row>
    <row r="1094" spans="1:7" x14ac:dyDescent="0.3">
      <c r="A1094" t="s">
        <v>27</v>
      </c>
      <c r="B1094" t="s">
        <v>1834</v>
      </c>
      <c r="C1094" t="s">
        <v>9</v>
      </c>
      <c r="D1094" t="s">
        <v>154</v>
      </c>
      <c r="E1094">
        <v>567</v>
      </c>
      <c r="F1094" t="b">
        <v>1</v>
      </c>
      <c r="G1094" t="str">
        <f>HYPERLINK("https://www.google.com/maps/search/?api=1&amp;query=24.61097928,46.50976842", "View Map")</f>
        <v>View Map</v>
      </c>
    </row>
    <row r="1095" spans="1:7" x14ac:dyDescent="0.3">
      <c r="A1095" t="s">
        <v>720</v>
      </c>
      <c r="B1095" t="s">
        <v>1835</v>
      </c>
      <c r="C1095" t="s">
        <v>9</v>
      </c>
      <c r="D1095" t="s">
        <v>154</v>
      </c>
      <c r="E1095">
        <v>567</v>
      </c>
      <c r="F1095" t="b">
        <v>1</v>
      </c>
      <c r="G1095" t="str">
        <f>HYPERLINK("https://www.google.com/maps/search/?api=1&amp;query=24.55604611,46.69934432", "View Map")</f>
        <v>View Map</v>
      </c>
    </row>
    <row r="1096" spans="1:7" x14ac:dyDescent="0.3">
      <c r="A1096" t="s">
        <v>1836</v>
      </c>
      <c r="B1096" t="s">
        <v>1837</v>
      </c>
      <c r="C1096" t="s">
        <v>9</v>
      </c>
      <c r="D1096" t="s">
        <v>154</v>
      </c>
      <c r="E1096">
        <v>567</v>
      </c>
      <c r="F1096" t="b">
        <v>1</v>
      </c>
      <c r="G1096" t="str">
        <f>HYPERLINK("https://www.google.com/maps/search/?api=1&amp;query=24.70235429,46.77728484", "View Map")</f>
        <v>View Map</v>
      </c>
    </row>
    <row r="1097" spans="1:7" x14ac:dyDescent="0.3">
      <c r="A1097" t="s">
        <v>1838</v>
      </c>
      <c r="B1097" t="s">
        <v>1839</v>
      </c>
      <c r="C1097" t="s">
        <v>9</v>
      </c>
      <c r="D1097" t="s">
        <v>154</v>
      </c>
      <c r="E1097">
        <v>567</v>
      </c>
      <c r="F1097" t="b">
        <v>1</v>
      </c>
      <c r="G1097" t="str">
        <f>HYPERLINK("https://www.google.com/maps/search/?api=1&amp;query=24.81908134,46.6605319", "View Map")</f>
        <v>View Map</v>
      </c>
    </row>
    <row r="1098" spans="1:7" x14ac:dyDescent="0.3">
      <c r="A1098" t="s">
        <v>1840</v>
      </c>
      <c r="B1098" t="s">
        <v>1841</v>
      </c>
      <c r="C1098" t="s">
        <v>9</v>
      </c>
      <c r="D1098" t="s">
        <v>154</v>
      </c>
      <c r="E1098">
        <v>567</v>
      </c>
      <c r="F1098" t="b">
        <v>1</v>
      </c>
      <c r="G1098" t="str">
        <f>HYPERLINK("https://www.google.com/maps/search/?api=1&amp;query=24.79453383,46.65273936", "View Map")</f>
        <v>View Map</v>
      </c>
    </row>
    <row r="1099" spans="1:7" x14ac:dyDescent="0.3">
      <c r="A1099" t="s">
        <v>1842</v>
      </c>
      <c r="B1099" t="s">
        <v>1843</v>
      </c>
      <c r="C1099" t="s">
        <v>9</v>
      </c>
      <c r="D1099" t="s">
        <v>154</v>
      </c>
      <c r="E1099">
        <v>566</v>
      </c>
      <c r="F1099" t="b">
        <v>1</v>
      </c>
      <c r="G1099" t="str">
        <f>HYPERLINK("https://www.google.com/maps/search/?api=1&amp;query=24.70066703,46.752692", "View Map")</f>
        <v>View Map</v>
      </c>
    </row>
    <row r="1100" spans="1:7" x14ac:dyDescent="0.3">
      <c r="A1100" t="s">
        <v>1844</v>
      </c>
      <c r="B1100" t="s">
        <v>1845</v>
      </c>
      <c r="C1100" t="s">
        <v>9</v>
      </c>
      <c r="D1100" t="s">
        <v>154</v>
      </c>
      <c r="E1100">
        <v>566</v>
      </c>
      <c r="F1100" t="b">
        <v>1</v>
      </c>
      <c r="G1100" t="str">
        <f>HYPERLINK("https://www.google.com/maps/search/?api=1&amp;query=24.62124237,46.67574559", "View Map")</f>
        <v>View Map</v>
      </c>
    </row>
    <row r="1101" spans="1:7" x14ac:dyDescent="0.3">
      <c r="A1101" t="s">
        <v>1846</v>
      </c>
      <c r="B1101" t="s">
        <v>1847</v>
      </c>
      <c r="C1101" t="s">
        <v>72</v>
      </c>
      <c r="D1101" t="s">
        <v>154</v>
      </c>
      <c r="E1101">
        <v>565</v>
      </c>
      <c r="F1101" t="b">
        <v>1</v>
      </c>
      <c r="G1101" t="str">
        <f>HYPERLINK("https://www.google.com/maps/search/?api=1&amp;query=24.78929589,46.4258794", "View Map")</f>
        <v>View Map</v>
      </c>
    </row>
    <row r="1102" spans="1:7" x14ac:dyDescent="0.3">
      <c r="A1102" t="s">
        <v>19</v>
      </c>
      <c r="B1102" t="s">
        <v>1848</v>
      </c>
      <c r="C1102" t="s">
        <v>9</v>
      </c>
      <c r="D1102" t="s">
        <v>154</v>
      </c>
      <c r="E1102">
        <v>565</v>
      </c>
      <c r="F1102" t="b">
        <v>1</v>
      </c>
      <c r="G1102" t="str">
        <f>HYPERLINK("https://www.google.com/maps/search/?api=1&amp;query=24.81157258,46.66226254", "View Map")</f>
        <v>View Map</v>
      </c>
    </row>
    <row r="1103" spans="1:7" x14ac:dyDescent="0.3">
      <c r="A1103" t="s">
        <v>555</v>
      </c>
      <c r="B1103" t="s">
        <v>1849</v>
      </c>
      <c r="C1103" t="s">
        <v>9</v>
      </c>
      <c r="D1103" t="s">
        <v>154</v>
      </c>
      <c r="E1103">
        <v>563</v>
      </c>
      <c r="F1103" t="b">
        <v>1</v>
      </c>
      <c r="G1103" t="str">
        <f>HYPERLINK("https://www.google.com/maps/search/?api=1&amp;query=24.75684631,46.65556172", "View Map")</f>
        <v>View Map</v>
      </c>
    </row>
    <row r="1104" spans="1:7" x14ac:dyDescent="0.3">
      <c r="A1104" t="s">
        <v>1850</v>
      </c>
      <c r="B1104" t="s">
        <v>1851</v>
      </c>
      <c r="C1104" t="s">
        <v>9</v>
      </c>
      <c r="D1104" t="s">
        <v>154</v>
      </c>
      <c r="E1104">
        <v>562</v>
      </c>
      <c r="F1104" t="b">
        <v>1</v>
      </c>
      <c r="G1104" t="str">
        <f>HYPERLINK("https://www.google.com/maps/search/?api=1&amp;query=24.63661924,46.74131099", "View Map")</f>
        <v>View Map</v>
      </c>
    </row>
    <row r="1105" spans="1:7" x14ac:dyDescent="0.3">
      <c r="A1105" t="s">
        <v>1852</v>
      </c>
      <c r="B1105" t="s">
        <v>1853</v>
      </c>
      <c r="C1105" t="s">
        <v>9</v>
      </c>
      <c r="D1105" t="s">
        <v>154</v>
      </c>
      <c r="E1105">
        <v>562</v>
      </c>
      <c r="F1105" t="b">
        <v>0</v>
      </c>
      <c r="G1105" t="str">
        <f>HYPERLINK("https://www.google.com/maps/search/?api=1&amp;query=24.56767809,46.66967158", "View Map")</f>
        <v>View Map</v>
      </c>
    </row>
    <row r="1106" spans="1:7" x14ac:dyDescent="0.3">
      <c r="A1106" t="s">
        <v>194</v>
      </c>
      <c r="B1106" t="s">
        <v>1854</v>
      </c>
      <c r="C1106" t="s">
        <v>9</v>
      </c>
      <c r="D1106" t="s">
        <v>154</v>
      </c>
      <c r="E1106">
        <v>561</v>
      </c>
      <c r="F1106" t="b">
        <v>1</v>
      </c>
      <c r="G1106" t="str">
        <f>HYPERLINK("https://www.google.com/maps/search/?api=1&amp;query=24.82796432,46.76651492", "View Map")</f>
        <v>View Map</v>
      </c>
    </row>
    <row r="1107" spans="1:7" x14ac:dyDescent="0.3">
      <c r="A1107" t="s">
        <v>1855</v>
      </c>
      <c r="B1107" t="s">
        <v>1856</v>
      </c>
      <c r="C1107" t="s">
        <v>9</v>
      </c>
      <c r="D1107" t="s">
        <v>154</v>
      </c>
      <c r="E1107">
        <v>561</v>
      </c>
      <c r="F1107" t="b">
        <v>1</v>
      </c>
      <c r="G1107" t="str">
        <f>HYPERLINK("https://www.google.com/maps/search/?api=1&amp;query=24.6318401,46.54951442", "View Map")</f>
        <v>View Map</v>
      </c>
    </row>
    <row r="1108" spans="1:7" x14ac:dyDescent="0.3">
      <c r="A1108" t="s">
        <v>1857</v>
      </c>
      <c r="B1108" t="s">
        <v>1858</v>
      </c>
      <c r="C1108" t="s">
        <v>9</v>
      </c>
      <c r="D1108" t="s">
        <v>154</v>
      </c>
      <c r="E1108">
        <v>561</v>
      </c>
      <c r="F1108" t="b">
        <v>1</v>
      </c>
      <c r="G1108" t="str">
        <f>HYPERLINK("https://www.google.com/maps/search/?api=1&amp;query=24.66450296,46.70559509", "View Map")</f>
        <v>View Map</v>
      </c>
    </row>
    <row r="1109" spans="1:7" x14ac:dyDescent="0.3">
      <c r="A1109" t="s">
        <v>27</v>
      </c>
      <c r="B1109" t="s">
        <v>1859</v>
      </c>
      <c r="C1109" t="s">
        <v>9</v>
      </c>
      <c r="D1109" t="s">
        <v>154</v>
      </c>
      <c r="E1109">
        <v>560</v>
      </c>
      <c r="F1109" t="b">
        <v>1</v>
      </c>
      <c r="G1109" t="str">
        <f>HYPERLINK("https://www.google.com/maps/search/?api=1&amp;query=0.0,0.0", "View Map")</f>
        <v>View Map</v>
      </c>
    </row>
    <row r="1110" spans="1:7" x14ac:dyDescent="0.3">
      <c r="A1110" t="s">
        <v>1860</v>
      </c>
      <c r="B1110" t="s">
        <v>1861</v>
      </c>
      <c r="C1110" t="s">
        <v>9</v>
      </c>
      <c r="D1110" t="s">
        <v>10</v>
      </c>
      <c r="E1110">
        <v>560</v>
      </c>
      <c r="F1110" t="b">
        <v>1</v>
      </c>
      <c r="G1110" t="str">
        <f>HYPERLINK("https://www.google.com/maps/search/?api=1&amp;query=24.59168432,46.71777495", "View Map")</f>
        <v>View Map</v>
      </c>
    </row>
    <row r="1111" spans="1:7" x14ac:dyDescent="0.3">
      <c r="A1111" t="s">
        <v>27</v>
      </c>
      <c r="B1111" t="s">
        <v>1862</v>
      </c>
      <c r="C1111" t="s">
        <v>9</v>
      </c>
      <c r="D1111" t="s">
        <v>154</v>
      </c>
      <c r="E1111">
        <v>560</v>
      </c>
      <c r="F1111" t="b">
        <v>1</v>
      </c>
      <c r="G1111" t="str">
        <f>HYPERLINK("https://www.google.com/maps/search/?api=1&amp;query=24.82635582,46.60725652", "View Map")</f>
        <v>View Map</v>
      </c>
    </row>
    <row r="1112" spans="1:7" x14ac:dyDescent="0.3">
      <c r="A1112" t="s">
        <v>1863</v>
      </c>
      <c r="B1112" t="s">
        <v>1864</v>
      </c>
      <c r="C1112" t="s">
        <v>9</v>
      </c>
      <c r="D1112" t="s">
        <v>154</v>
      </c>
      <c r="E1112">
        <v>559</v>
      </c>
      <c r="F1112" t="b">
        <v>1</v>
      </c>
      <c r="G1112" t="str">
        <f>HYPERLINK("https://www.google.com/maps/search/?api=1&amp;query=24.59708604,46.67724313", "View Map")</f>
        <v>View Map</v>
      </c>
    </row>
    <row r="1113" spans="1:7" x14ac:dyDescent="0.3">
      <c r="A1113" t="s">
        <v>1865</v>
      </c>
      <c r="B1113" t="s">
        <v>1866</v>
      </c>
      <c r="C1113" t="s">
        <v>9</v>
      </c>
      <c r="D1113" t="s">
        <v>154</v>
      </c>
      <c r="E1113">
        <v>559</v>
      </c>
      <c r="F1113" t="b">
        <v>1</v>
      </c>
      <c r="G1113" t="str">
        <f>HYPERLINK("https://www.google.com/maps/search/?api=1&amp;query=24.62772558,46.78719619", "View Map")</f>
        <v>View Map</v>
      </c>
    </row>
    <row r="1114" spans="1:7" x14ac:dyDescent="0.3">
      <c r="A1114" t="s">
        <v>194</v>
      </c>
      <c r="B1114" t="s">
        <v>1867</v>
      </c>
      <c r="C1114" t="s">
        <v>9</v>
      </c>
      <c r="D1114" t="s">
        <v>154</v>
      </c>
      <c r="E1114">
        <v>559</v>
      </c>
      <c r="F1114" t="b">
        <v>1</v>
      </c>
      <c r="G1114" t="str">
        <f>HYPERLINK("https://www.google.com/maps/search/?api=1&amp;query=24.63361025,46.53735388", "View Map")</f>
        <v>View Map</v>
      </c>
    </row>
    <row r="1115" spans="1:7" x14ac:dyDescent="0.3">
      <c r="A1115" t="s">
        <v>1868</v>
      </c>
      <c r="B1115" t="s">
        <v>1869</v>
      </c>
      <c r="C1115" t="s">
        <v>9</v>
      </c>
      <c r="D1115" t="s">
        <v>10</v>
      </c>
      <c r="E1115">
        <v>559</v>
      </c>
      <c r="F1115" t="b">
        <v>1</v>
      </c>
      <c r="G1115" t="str">
        <f>HYPERLINK("https://www.google.com/maps/search/?api=1&amp;query=24.75339638,46.65612992", "View Map")</f>
        <v>View Map</v>
      </c>
    </row>
    <row r="1116" spans="1:7" x14ac:dyDescent="0.3">
      <c r="A1116" t="s">
        <v>1870</v>
      </c>
      <c r="B1116" t="s">
        <v>1871</v>
      </c>
      <c r="C1116" t="s">
        <v>9</v>
      </c>
      <c r="D1116" t="s">
        <v>154</v>
      </c>
      <c r="E1116">
        <v>558</v>
      </c>
      <c r="F1116" t="b">
        <v>1</v>
      </c>
      <c r="G1116" t="str">
        <f>HYPERLINK("https://www.google.com/maps/search/?api=1&amp;query=24.59000063,46.76508727", "View Map")</f>
        <v>View Map</v>
      </c>
    </row>
    <row r="1117" spans="1:7" x14ac:dyDescent="0.3">
      <c r="A1117" t="s">
        <v>415</v>
      </c>
      <c r="B1117" t="s">
        <v>1872</v>
      </c>
      <c r="C1117" t="s">
        <v>9</v>
      </c>
      <c r="D1117" t="s">
        <v>154</v>
      </c>
      <c r="E1117">
        <v>558</v>
      </c>
      <c r="F1117" t="b">
        <v>1</v>
      </c>
      <c r="G1117" t="str">
        <f>HYPERLINK("https://www.google.com/maps/search/?api=1&amp;query=24.65276525,46.79890963", "View Map")</f>
        <v>View Map</v>
      </c>
    </row>
    <row r="1118" spans="1:7" x14ac:dyDescent="0.3">
      <c r="A1118" t="s">
        <v>607</v>
      </c>
      <c r="B1118" t="s">
        <v>1873</v>
      </c>
      <c r="C1118" t="s">
        <v>9</v>
      </c>
      <c r="D1118" t="s">
        <v>154</v>
      </c>
      <c r="E1118">
        <v>557</v>
      </c>
      <c r="F1118" t="b">
        <v>1</v>
      </c>
      <c r="G1118" t="str">
        <f>HYPERLINK("https://www.google.com/maps/search/?api=1&amp;query=24.52801392,46.69378168", "View Map")</f>
        <v>View Map</v>
      </c>
    </row>
    <row r="1119" spans="1:7" x14ac:dyDescent="0.3">
      <c r="A1119" t="s">
        <v>1874</v>
      </c>
      <c r="B1119" t="s">
        <v>1875</v>
      </c>
      <c r="C1119" t="s">
        <v>9</v>
      </c>
      <c r="D1119" t="s">
        <v>154</v>
      </c>
      <c r="E1119">
        <v>557</v>
      </c>
      <c r="F1119" t="b">
        <v>1</v>
      </c>
      <c r="G1119" t="str">
        <f>HYPERLINK("https://www.google.com/maps/search/?api=1&amp;query=24.58747526,46.76039766", "View Map")</f>
        <v>View Map</v>
      </c>
    </row>
    <row r="1120" spans="1:7" x14ac:dyDescent="0.3">
      <c r="A1120" t="s">
        <v>1876</v>
      </c>
      <c r="B1120" t="s">
        <v>1877</v>
      </c>
      <c r="C1120" t="s">
        <v>9</v>
      </c>
      <c r="D1120" t="s">
        <v>154</v>
      </c>
      <c r="E1120">
        <v>554</v>
      </c>
      <c r="F1120" t="b">
        <v>1</v>
      </c>
      <c r="G1120" t="str">
        <f>HYPERLINK("https://www.google.com/maps/search/?api=1&amp;query=24.58842846,46.62775371", "View Map")</f>
        <v>View Map</v>
      </c>
    </row>
    <row r="1121" spans="1:7" x14ac:dyDescent="0.3">
      <c r="A1121" t="s">
        <v>1878</v>
      </c>
      <c r="B1121" t="s">
        <v>1879</v>
      </c>
      <c r="C1121" t="s">
        <v>9</v>
      </c>
      <c r="D1121" t="s">
        <v>154</v>
      </c>
      <c r="E1121">
        <v>551</v>
      </c>
      <c r="F1121" t="b">
        <v>1</v>
      </c>
      <c r="G1121" t="str">
        <f>HYPERLINK("https://www.google.com/maps/search/?api=1&amp;query=24.74067191,46.82436082", "View Map")</f>
        <v>View Map</v>
      </c>
    </row>
    <row r="1122" spans="1:7" x14ac:dyDescent="0.3">
      <c r="A1122" t="s">
        <v>27</v>
      </c>
      <c r="B1122" t="s">
        <v>1880</v>
      </c>
      <c r="C1122" t="s">
        <v>9</v>
      </c>
      <c r="D1122" t="s">
        <v>154</v>
      </c>
      <c r="E1122">
        <v>551</v>
      </c>
      <c r="F1122" t="b">
        <v>1</v>
      </c>
      <c r="G1122" t="str">
        <f>HYPERLINK("https://www.google.com/maps/search/?api=1&amp;query=24.6110802,46.5055734", "View Map")</f>
        <v>View Map</v>
      </c>
    </row>
    <row r="1123" spans="1:7" x14ac:dyDescent="0.3">
      <c r="A1123" t="s">
        <v>1881</v>
      </c>
      <c r="B1123" t="s">
        <v>1882</v>
      </c>
      <c r="C1123" t="s">
        <v>72</v>
      </c>
      <c r="D1123" t="s">
        <v>154</v>
      </c>
      <c r="E1123">
        <v>551</v>
      </c>
      <c r="F1123" t="b">
        <v>1</v>
      </c>
      <c r="G1123" t="str">
        <f>HYPERLINK("https://www.google.com/maps/search/?api=1&amp;query=24.74611713,46.52684451", "View Map")</f>
        <v>View Map</v>
      </c>
    </row>
    <row r="1124" spans="1:7" x14ac:dyDescent="0.3">
      <c r="A1124" t="s">
        <v>1883</v>
      </c>
      <c r="B1124" t="s">
        <v>1884</v>
      </c>
      <c r="C1124" t="s">
        <v>9</v>
      </c>
      <c r="D1124" t="s">
        <v>154</v>
      </c>
      <c r="E1124">
        <v>550</v>
      </c>
      <c r="F1124" t="b">
        <v>1</v>
      </c>
      <c r="G1124" t="str">
        <f>HYPERLINK("https://www.google.com/maps/search/?api=1&amp;query=24.8092,46.63193", "View Map")</f>
        <v>View Map</v>
      </c>
    </row>
    <row r="1125" spans="1:7" x14ac:dyDescent="0.3">
      <c r="A1125" t="s">
        <v>1885</v>
      </c>
      <c r="B1125" t="s">
        <v>1886</v>
      </c>
      <c r="C1125" t="s">
        <v>9</v>
      </c>
      <c r="D1125" t="s">
        <v>154</v>
      </c>
      <c r="E1125">
        <v>550</v>
      </c>
      <c r="F1125" t="b">
        <v>1</v>
      </c>
      <c r="G1125" t="str">
        <f>HYPERLINK("https://www.google.com/maps/search/?api=1&amp;query=24.62036701,46.80794113", "View Map")</f>
        <v>View Map</v>
      </c>
    </row>
    <row r="1126" spans="1:7" x14ac:dyDescent="0.3">
      <c r="A1126" t="s">
        <v>1887</v>
      </c>
      <c r="B1126" t="s">
        <v>1888</v>
      </c>
      <c r="C1126" t="s">
        <v>9</v>
      </c>
      <c r="D1126" t="s">
        <v>154</v>
      </c>
      <c r="E1126">
        <v>550</v>
      </c>
      <c r="F1126" t="b">
        <v>1</v>
      </c>
      <c r="G1126" t="str">
        <f>HYPERLINK("https://www.google.com/maps/search/?api=1&amp;query=24.56372838,46.78322256", "View Map")</f>
        <v>View Map</v>
      </c>
    </row>
    <row r="1127" spans="1:7" x14ac:dyDescent="0.3">
      <c r="A1127" t="s">
        <v>1889</v>
      </c>
      <c r="B1127" t="s">
        <v>1890</v>
      </c>
      <c r="C1127" t="s">
        <v>72</v>
      </c>
      <c r="D1127" t="s">
        <v>154</v>
      </c>
      <c r="E1127">
        <v>549</v>
      </c>
      <c r="F1127" t="b">
        <v>0</v>
      </c>
      <c r="G1127" t="str">
        <f>HYPERLINK("https://www.google.com/maps/search/?api=1&amp;query=24.79074377,46.43010552", "View Map")</f>
        <v>View Map</v>
      </c>
    </row>
    <row r="1128" spans="1:7" x14ac:dyDescent="0.3">
      <c r="A1128" t="s">
        <v>1891</v>
      </c>
      <c r="B1128" t="s">
        <v>1892</v>
      </c>
      <c r="C1128" t="s">
        <v>9</v>
      </c>
      <c r="D1128" t="s">
        <v>154</v>
      </c>
      <c r="E1128">
        <v>548</v>
      </c>
      <c r="F1128" t="b">
        <v>1</v>
      </c>
      <c r="G1128" t="str">
        <f>HYPERLINK("https://www.google.com/maps/search/?api=1&amp;query=24.70717407,46.83091194", "View Map")</f>
        <v>View Map</v>
      </c>
    </row>
    <row r="1129" spans="1:7" x14ac:dyDescent="0.3">
      <c r="A1129" t="s">
        <v>1893</v>
      </c>
      <c r="B1129" t="s">
        <v>1894</v>
      </c>
      <c r="C1129" t="s">
        <v>9</v>
      </c>
      <c r="D1129" t="s">
        <v>154</v>
      </c>
      <c r="E1129">
        <v>548</v>
      </c>
      <c r="F1129" t="b">
        <v>1</v>
      </c>
      <c r="G1129" t="str">
        <f>HYPERLINK("https://www.google.com/maps/search/?api=1&amp;query=24.70001617,46.7772752", "View Map")</f>
        <v>View Map</v>
      </c>
    </row>
    <row r="1130" spans="1:7" x14ac:dyDescent="0.3">
      <c r="A1130" t="s">
        <v>1895</v>
      </c>
      <c r="B1130" t="s">
        <v>1896</v>
      </c>
      <c r="C1130" t="s">
        <v>9</v>
      </c>
      <c r="D1130" t="s">
        <v>154</v>
      </c>
      <c r="E1130">
        <v>548</v>
      </c>
      <c r="F1130" t="b">
        <v>1</v>
      </c>
      <c r="G1130" t="str">
        <f>HYPERLINK("https://www.google.com/maps/search/?api=1&amp;query=24.81315951,46.79012088", "View Map")</f>
        <v>View Map</v>
      </c>
    </row>
    <row r="1131" spans="1:7" x14ac:dyDescent="0.3">
      <c r="A1131" t="s">
        <v>159</v>
      </c>
      <c r="B1131" t="s">
        <v>1897</v>
      </c>
      <c r="C1131" t="s">
        <v>9</v>
      </c>
      <c r="D1131" t="s">
        <v>154</v>
      </c>
      <c r="E1131">
        <v>547</v>
      </c>
      <c r="F1131" t="b">
        <v>1</v>
      </c>
      <c r="G1131" t="str">
        <f>HYPERLINK("https://www.google.com/maps/search/?api=1&amp;query=24.56218376,46.57032725", "View Map")</f>
        <v>View Map</v>
      </c>
    </row>
    <row r="1132" spans="1:7" x14ac:dyDescent="0.3">
      <c r="A1132" t="s">
        <v>1898</v>
      </c>
      <c r="B1132" t="s">
        <v>1899</v>
      </c>
      <c r="C1132" t="s">
        <v>9</v>
      </c>
      <c r="D1132" t="s">
        <v>154</v>
      </c>
      <c r="E1132">
        <v>547</v>
      </c>
      <c r="F1132" t="b">
        <v>1</v>
      </c>
      <c r="G1132" t="str">
        <f>HYPERLINK("https://www.google.com/maps/search/?api=1&amp;query=24.85381109,46.77516928", "View Map")</f>
        <v>View Map</v>
      </c>
    </row>
    <row r="1133" spans="1:7" x14ac:dyDescent="0.3">
      <c r="A1133" t="s">
        <v>1900</v>
      </c>
      <c r="B1133" t="s">
        <v>1901</v>
      </c>
      <c r="C1133" t="s">
        <v>9</v>
      </c>
      <c r="D1133" t="s">
        <v>154</v>
      </c>
      <c r="E1133">
        <v>547</v>
      </c>
      <c r="F1133" t="b">
        <v>1</v>
      </c>
      <c r="G1133" t="str">
        <f>HYPERLINK("https://www.google.com/maps/search/?api=1&amp;query=24.70104458,46.78713846", "View Map")</f>
        <v>View Map</v>
      </c>
    </row>
    <row r="1134" spans="1:7" x14ac:dyDescent="0.3">
      <c r="A1134" t="s">
        <v>1902</v>
      </c>
      <c r="B1134" t="s">
        <v>1903</v>
      </c>
      <c r="C1134" t="s">
        <v>9</v>
      </c>
      <c r="D1134" t="s">
        <v>154</v>
      </c>
      <c r="E1134">
        <v>546</v>
      </c>
      <c r="F1134" t="b">
        <v>1</v>
      </c>
      <c r="G1134" t="str">
        <f>HYPERLINK("https://www.google.com/maps/search/?api=1&amp;query=24.41027743,46.84188136", "View Map")</f>
        <v>View Map</v>
      </c>
    </row>
    <row r="1135" spans="1:7" x14ac:dyDescent="0.3">
      <c r="A1135" t="s">
        <v>1904</v>
      </c>
      <c r="B1135" t="s">
        <v>1905</v>
      </c>
      <c r="C1135" t="s">
        <v>9</v>
      </c>
      <c r="D1135" t="s">
        <v>154</v>
      </c>
      <c r="E1135">
        <v>546</v>
      </c>
      <c r="F1135" t="b">
        <v>1</v>
      </c>
      <c r="G1135" t="str">
        <f>HYPERLINK("https://www.google.com/maps/search/?api=1&amp;query=24.720383,46.767455", "View Map")</f>
        <v>View Map</v>
      </c>
    </row>
    <row r="1136" spans="1:7" x14ac:dyDescent="0.3">
      <c r="A1136" t="s">
        <v>1906</v>
      </c>
      <c r="B1136" t="s">
        <v>1907</v>
      </c>
      <c r="C1136" t="s">
        <v>9</v>
      </c>
      <c r="D1136" t="s">
        <v>10</v>
      </c>
      <c r="E1136">
        <v>546</v>
      </c>
      <c r="F1136" t="b">
        <v>1</v>
      </c>
      <c r="G1136" t="str">
        <f>HYPERLINK("https://www.google.com/maps/search/?api=1&amp;query=24.57652756,46.56808213", "View Map")</f>
        <v>View Map</v>
      </c>
    </row>
    <row r="1137" spans="1:7" x14ac:dyDescent="0.3">
      <c r="A1137" t="s">
        <v>1908</v>
      </c>
      <c r="B1137" t="s">
        <v>1909</v>
      </c>
      <c r="C1137" t="s">
        <v>9</v>
      </c>
      <c r="D1137" t="s">
        <v>154</v>
      </c>
      <c r="E1137">
        <v>546</v>
      </c>
      <c r="F1137" t="b">
        <v>1</v>
      </c>
      <c r="G1137" t="str">
        <f>HYPERLINK("https://www.google.com/maps/search/?api=1&amp;query=24.69040432,46.60629368", "View Map")</f>
        <v>View Map</v>
      </c>
    </row>
    <row r="1138" spans="1:7" x14ac:dyDescent="0.3">
      <c r="A1138" t="s">
        <v>27</v>
      </c>
      <c r="B1138" t="s">
        <v>1910</v>
      </c>
      <c r="C1138" t="s">
        <v>9</v>
      </c>
      <c r="D1138" t="s">
        <v>154</v>
      </c>
      <c r="E1138">
        <v>546</v>
      </c>
      <c r="F1138" t="b">
        <v>1</v>
      </c>
      <c r="G1138" t="str">
        <f>HYPERLINK("https://www.google.com/maps/search/?api=1&amp;query=24.84676895,46.87743294", "View Map")</f>
        <v>View Map</v>
      </c>
    </row>
    <row r="1139" spans="1:7" x14ac:dyDescent="0.3">
      <c r="A1139" t="s">
        <v>1911</v>
      </c>
      <c r="B1139" t="s">
        <v>1912</v>
      </c>
      <c r="C1139" t="s">
        <v>9</v>
      </c>
      <c r="D1139" t="s">
        <v>154</v>
      </c>
      <c r="E1139">
        <v>546</v>
      </c>
      <c r="F1139" t="b">
        <v>1</v>
      </c>
      <c r="G1139" t="str">
        <f>HYPERLINK("https://www.google.com/maps/search/?api=1&amp;query=24.79960344,46.67065048", "View Map")</f>
        <v>View Map</v>
      </c>
    </row>
    <row r="1140" spans="1:7" x14ac:dyDescent="0.3">
      <c r="A1140" t="s">
        <v>1913</v>
      </c>
      <c r="B1140" t="s">
        <v>1914</v>
      </c>
      <c r="C1140" t="s">
        <v>9</v>
      </c>
      <c r="D1140" t="s">
        <v>154</v>
      </c>
      <c r="E1140">
        <v>546</v>
      </c>
      <c r="F1140" t="b">
        <v>1</v>
      </c>
      <c r="G1140" t="str">
        <f>HYPERLINK("https://www.google.com/maps/search/?api=1&amp;query=24.77573178,46.75846052", "View Map")</f>
        <v>View Map</v>
      </c>
    </row>
    <row r="1141" spans="1:7" x14ac:dyDescent="0.3">
      <c r="A1141" t="s">
        <v>1915</v>
      </c>
      <c r="B1141" t="s">
        <v>1916</v>
      </c>
      <c r="C1141" t="s">
        <v>9</v>
      </c>
      <c r="D1141" t="s">
        <v>154</v>
      </c>
      <c r="E1141">
        <v>546</v>
      </c>
      <c r="F1141" t="b">
        <v>1</v>
      </c>
      <c r="G1141" t="str">
        <f>HYPERLINK("https://www.google.com/maps/search/?api=1&amp;query=24.67533,46.85330097", "View Map")</f>
        <v>View Map</v>
      </c>
    </row>
    <row r="1142" spans="1:7" x14ac:dyDescent="0.3">
      <c r="A1142" t="s">
        <v>1917</v>
      </c>
      <c r="B1142" t="s">
        <v>1918</v>
      </c>
      <c r="C1142" t="s">
        <v>9</v>
      </c>
      <c r="D1142" t="s">
        <v>154</v>
      </c>
      <c r="E1142">
        <v>545</v>
      </c>
      <c r="F1142" t="b">
        <v>1</v>
      </c>
      <c r="G1142" t="str">
        <f>HYPERLINK("https://www.google.com/maps/search/?api=1&amp;query=24.68589089,46.57203168", "View Map")</f>
        <v>View Map</v>
      </c>
    </row>
    <row r="1143" spans="1:7" x14ac:dyDescent="0.3">
      <c r="A1143" t="s">
        <v>1919</v>
      </c>
      <c r="B1143" t="s">
        <v>1920</v>
      </c>
      <c r="C1143" t="s">
        <v>9</v>
      </c>
      <c r="D1143" t="s">
        <v>154</v>
      </c>
      <c r="E1143">
        <v>545</v>
      </c>
      <c r="F1143" t="b">
        <v>1</v>
      </c>
      <c r="G1143" t="str">
        <f>HYPERLINK("https://www.google.com/maps/search/?api=1&amp;query=24.82071432,46.65063474", "View Map")</f>
        <v>View Map</v>
      </c>
    </row>
    <row r="1144" spans="1:7" x14ac:dyDescent="0.3">
      <c r="A1144" t="s">
        <v>1921</v>
      </c>
      <c r="B1144" t="s">
        <v>1922</v>
      </c>
      <c r="C1144" t="s">
        <v>9</v>
      </c>
      <c r="D1144" t="s">
        <v>154</v>
      </c>
      <c r="E1144">
        <v>544</v>
      </c>
      <c r="F1144" t="b">
        <v>0</v>
      </c>
      <c r="G1144" t="str">
        <f>HYPERLINK("https://www.google.com/maps/search/?api=1&amp;query=24.50275292,46.62342366", "View Map")</f>
        <v>View Map</v>
      </c>
    </row>
    <row r="1145" spans="1:7" x14ac:dyDescent="0.3">
      <c r="A1145" t="s">
        <v>1923</v>
      </c>
      <c r="B1145" t="s">
        <v>1924</v>
      </c>
      <c r="C1145" t="s">
        <v>9</v>
      </c>
      <c r="D1145" t="s">
        <v>154</v>
      </c>
      <c r="E1145">
        <v>544</v>
      </c>
      <c r="F1145" t="b">
        <v>1</v>
      </c>
      <c r="G1145" t="str">
        <f>HYPERLINK("https://www.google.com/maps/search/?api=1&amp;query=24.75578177,46.74512079", "View Map")</f>
        <v>View Map</v>
      </c>
    </row>
    <row r="1146" spans="1:7" x14ac:dyDescent="0.3">
      <c r="A1146" t="s">
        <v>194</v>
      </c>
      <c r="B1146" t="s">
        <v>1925</v>
      </c>
      <c r="C1146" t="s">
        <v>9</v>
      </c>
      <c r="D1146" t="s">
        <v>154</v>
      </c>
      <c r="E1146">
        <v>544</v>
      </c>
      <c r="F1146" t="b">
        <v>1</v>
      </c>
      <c r="G1146" t="str">
        <f>HYPERLINK("https://www.google.com/maps/search/?api=1&amp;query=24.79704184,46.88365533", "View Map")</f>
        <v>View Map</v>
      </c>
    </row>
    <row r="1147" spans="1:7" x14ac:dyDescent="0.3">
      <c r="A1147" t="s">
        <v>1926</v>
      </c>
      <c r="B1147" t="s">
        <v>1927</v>
      </c>
      <c r="C1147" t="s">
        <v>9</v>
      </c>
      <c r="D1147" t="s">
        <v>154</v>
      </c>
      <c r="E1147">
        <v>543</v>
      </c>
      <c r="F1147" t="b">
        <v>1</v>
      </c>
      <c r="G1147" t="str">
        <f>HYPERLINK("https://www.google.com/maps/search/?api=1&amp;query=24.75177033,46.66900921", "View Map")</f>
        <v>View Map</v>
      </c>
    </row>
    <row r="1148" spans="1:7" x14ac:dyDescent="0.3">
      <c r="A1148" t="s">
        <v>248</v>
      </c>
      <c r="B1148" t="s">
        <v>1928</v>
      </c>
      <c r="C1148" t="s">
        <v>9</v>
      </c>
      <c r="D1148" t="s">
        <v>154</v>
      </c>
      <c r="E1148">
        <v>542</v>
      </c>
      <c r="F1148" t="b">
        <v>0</v>
      </c>
      <c r="G1148" t="str">
        <f>HYPERLINK("https://www.google.com/maps/search/?api=1&amp;query=24.65333946,46.8200158", "View Map")</f>
        <v>View Map</v>
      </c>
    </row>
    <row r="1149" spans="1:7" x14ac:dyDescent="0.3">
      <c r="A1149" t="s">
        <v>27</v>
      </c>
      <c r="B1149" t="s">
        <v>1929</v>
      </c>
      <c r="C1149" t="s">
        <v>9</v>
      </c>
      <c r="D1149" t="s">
        <v>154</v>
      </c>
      <c r="E1149">
        <v>541</v>
      </c>
      <c r="F1149" t="b">
        <v>1</v>
      </c>
      <c r="G1149" t="str">
        <f>HYPERLINK("https://www.google.com/maps/search/?api=1&amp;query=24.58815505,46.78042521", "View Map")</f>
        <v>View Map</v>
      </c>
    </row>
    <row r="1150" spans="1:7" x14ac:dyDescent="0.3">
      <c r="A1150" t="s">
        <v>159</v>
      </c>
      <c r="B1150" t="s">
        <v>1930</v>
      </c>
      <c r="C1150" t="s">
        <v>9</v>
      </c>
      <c r="D1150" t="s">
        <v>154</v>
      </c>
      <c r="E1150">
        <v>541</v>
      </c>
      <c r="F1150" t="b">
        <v>1</v>
      </c>
      <c r="G1150" t="str">
        <f>HYPERLINK("https://www.google.com/maps/search/?api=1&amp;query=24.5040804,46.6683632", "View Map")</f>
        <v>View Map</v>
      </c>
    </row>
    <row r="1151" spans="1:7" x14ac:dyDescent="0.3">
      <c r="A1151" t="s">
        <v>159</v>
      </c>
      <c r="B1151" t="s">
        <v>1931</v>
      </c>
      <c r="C1151" t="s">
        <v>9</v>
      </c>
      <c r="D1151" t="s">
        <v>154</v>
      </c>
      <c r="E1151">
        <v>541</v>
      </c>
      <c r="F1151" t="b">
        <v>1</v>
      </c>
      <c r="G1151" t="str">
        <f>HYPERLINK("https://www.google.com/maps/search/?api=1&amp;query=24.55673478,46.61292399", "View Map")</f>
        <v>View Map</v>
      </c>
    </row>
    <row r="1152" spans="1:7" x14ac:dyDescent="0.3">
      <c r="A1152" t="s">
        <v>19</v>
      </c>
      <c r="B1152" t="s">
        <v>1932</v>
      </c>
      <c r="C1152" t="s">
        <v>9</v>
      </c>
      <c r="D1152" t="s">
        <v>154</v>
      </c>
      <c r="E1152">
        <v>540</v>
      </c>
      <c r="F1152" t="b">
        <v>1</v>
      </c>
      <c r="G1152" t="str">
        <f>HYPERLINK("https://www.google.com/maps/search/?api=1&amp;query=24.8443878,46.66892788", "View Map")</f>
        <v>View Map</v>
      </c>
    </row>
    <row r="1153" spans="1:7" x14ac:dyDescent="0.3">
      <c r="A1153" t="s">
        <v>27</v>
      </c>
      <c r="B1153" t="s">
        <v>1933</v>
      </c>
      <c r="C1153" t="s">
        <v>9</v>
      </c>
      <c r="D1153" t="s">
        <v>154</v>
      </c>
      <c r="E1153">
        <v>539</v>
      </c>
      <c r="F1153" t="b">
        <v>1</v>
      </c>
      <c r="G1153" t="str">
        <f>HYPERLINK("https://www.google.com/maps/search/?api=1&amp;query=24.86500371,46.62250016", "View Map")</f>
        <v>View Map</v>
      </c>
    </row>
    <row r="1154" spans="1:7" x14ac:dyDescent="0.3">
      <c r="A1154" t="s">
        <v>1934</v>
      </c>
      <c r="B1154" t="s">
        <v>1935</v>
      </c>
      <c r="C1154" t="s">
        <v>9</v>
      </c>
      <c r="D1154" t="s">
        <v>154</v>
      </c>
      <c r="E1154">
        <v>539</v>
      </c>
      <c r="F1154" t="b">
        <v>1</v>
      </c>
      <c r="G1154" t="str">
        <f>HYPERLINK("https://www.google.com/maps/search/?api=1&amp;query=24.73437013,46.82422422", "View Map")</f>
        <v>View Map</v>
      </c>
    </row>
    <row r="1155" spans="1:7" x14ac:dyDescent="0.3">
      <c r="A1155" t="s">
        <v>1936</v>
      </c>
      <c r="B1155" t="s">
        <v>1937</v>
      </c>
      <c r="C1155" t="s">
        <v>9</v>
      </c>
      <c r="D1155" t="s">
        <v>154</v>
      </c>
      <c r="E1155">
        <v>539</v>
      </c>
      <c r="F1155" t="b">
        <v>1</v>
      </c>
      <c r="G1155" t="str">
        <f>HYPERLINK("https://www.google.com/maps/search/?api=1&amp;query=24.74872362,46.76460672", "View Map")</f>
        <v>View Map</v>
      </c>
    </row>
    <row r="1156" spans="1:7" x14ac:dyDescent="0.3">
      <c r="A1156" t="s">
        <v>27</v>
      </c>
      <c r="B1156" t="s">
        <v>1938</v>
      </c>
      <c r="C1156" t="s">
        <v>9</v>
      </c>
      <c r="D1156" t="s">
        <v>154</v>
      </c>
      <c r="E1156">
        <v>538</v>
      </c>
      <c r="F1156" t="b">
        <v>0</v>
      </c>
      <c r="G1156" t="str">
        <f>HYPERLINK("https://www.google.com/maps/search/?api=1&amp;query=24.85202816,46.831367", "View Map")</f>
        <v>View Map</v>
      </c>
    </row>
    <row r="1157" spans="1:7" x14ac:dyDescent="0.3">
      <c r="A1157" t="s">
        <v>1939</v>
      </c>
      <c r="B1157" t="s">
        <v>1940</v>
      </c>
      <c r="C1157" t="s">
        <v>9</v>
      </c>
      <c r="D1157" t="s">
        <v>154</v>
      </c>
      <c r="E1157">
        <v>538</v>
      </c>
      <c r="F1157" t="b">
        <v>1</v>
      </c>
      <c r="G1157" t="str">
        <f>HYPERLINK("https://www.google.com/maps/search/?api=1&amp;query=24.57172829,46.82842336", "View Map")</f>
        <v>View Map</v>
      </c>
    </row>
    <row r="1158" spans="1:7" x14ac:dyDescent="0.3">
      <c r="A1158" t="s">
        <v>1941</v>
      </c>
      <c r="B1158" t="s">
        <v>1942</v>
      </c>
      <c r="C1158" t="s">
        <v>9</v>
      </c>
      <c r="D1158" t="s">
        <v>154</v>
      </c>
      <c r="E1158">
        <v>537</v>
      </c>
      <c r="F1158" t="b">
        <v>1</v>
      </c>
      <c r="G1158" t="str">
        <f>HYPERLINK("https://www.google.com/maps/search/?api=1&amp;query=24.55905408,46.72092626", "View Map")</f>
        <v>View Map</v>
      </c>
    </row>
    <row r="1159" spans="1:7" x14ac:dyDescent="0.3">
      <c r="A1159" t="s">
        <v>27</v>
      </c>
      <c r="B1159" t="s">
        <v>1943</v>
      </c>
      <c r="C1159" t="s">
        <v>9</v>
      </c>
      <c r="D1159" t="s">
        <v>154</v>
      </c>
      <c r="E1159">
        <v>537</v>
      </c>
      <c r="F1159" t="b">
        <v>1</v>
      </c>
      <c r="G1159" t="str">
        <f>HYPERLINK("https://www.google.com/maps/search/?api=1&amp;query=24.80154106,46.67644332", "View Map")</f>
        <v>View Map</v>
      </c>
    </row>
    <row r="1160" spans="1:7" x14ac:dyDescent="0.3">
      <c r="A1160" t="s">
        <v>1944</v>
      </c>
      <c r="B1160" t="s">
        <v>1945</v>
      </c>
      <c r="C1160" t="s">
        <v>9</v>
      </c>
      <c r="D1160" t="s">
        <v>154</v>
      </c>
      <c r="E1160">
        <v>536</v>
      </c>
      <c r="F1160" t="b">
        <v>1</v>
      </c>
      <c r="G1160" t="str">
        <f>HYPERLINK("https://www.google.com/maps/search/?api=1&amp;query=24.75824694,46.60633316", "View Map")</f>
        <v>View Map</v>
      </c>
    </row>
    <row r="1161" spans="1:7" x14ac:dyDescent="0.3">
      <c r="A1161" t="s">
        <v>1946</v>
      </c>
      <c r="B1161" t="s">
        <v>1947</v>
      </c>
      <c r="C1161" t="s">
        <v>9</v>
      </c>
      <c r="D1161" t="s">
        <v>154</v>
      </c>
      <c r="E1161">
        <v>535</v>
      </c>
      <c r="F1161" t="b">
        <v>1</v>
      </c>
      <c r="G1161" t="str">
        <f>HYPERLINK("https://www.google.com/maps/search/?api=1&amp;query=24.73977422,46.68617058", "View Map")</f>
        <v>View Map</v>
      </c>
    </row>
    <row r="1162" spans="1:7" x14ac:dyDescent="0.3">
      <c r="A1162" t="s">
        <v>1948</v>
      </c>
      <c r="B1162" t="s">
        <v>1949</v>
      </c>
      <c r="C1162" t="s">
        <v>9</v>
      </c>
      <c r="D1162" t="s">
        <v>154</v>
      </c>
      <c r="E1162">
        <v>535</v>
      </c>
      <c r="F1162" t="b">
        <v>1</v>
      </c>
      <c r="G1162" t="str">
        <f>HYPERLINK("https://www.google.com/maps/search/?api=1&amp;query=24.68324188,46.78661618", "View Map")</f>
        <v>View Map</v>
      </c>
    </row>
    <row r="1163" spans="1:7" x14ac:dyDescent="0.3">
      <c r="A1163" t="s">
        <v>1950</v>
      </c>
      <c r="B1163" t="s">
        <v>1951</v>
      </c>
      <c r="C1163" t="s">
        <v>9</v>
      </c>
      <c r="D1163" t="s">
        <v>154</v>
      </c>
      <c r="E1163">
        <v>535</v>
      </c>
      <c r="F1163" t="b">
        <v>1</v>
      </c>
      <c r="G1163" t="str">
        <f>HYPERLINK("https://www.google.com/maps/search/?api=1&amp;query=24.63183474,46.60425225", "View Map")</f>
        <v>View Map</v>
      </c>
    </row>
    <row r="1164" spans="1:7" x14ac:dyDescent="0.3">
      <c r="A1164" t="s">
        <v>1952</v>
      </c>
      <c r="B1164" t="s">
        <v>1953</v>
      </c>
      <c r="C1164" t="s">
        <v>9</v>
      </c>
      <c r="D1164" t="s">
        <v>154</v>
      </c>
      <c r="E1164">
        <v>534</v>
      </c>
      <c r="F1164" t="b">
        <v>1</v>
      </c>
      <c r="G1164" t="str">
        <f>HYPERLINK("https://www.google.com/maps/search/?api=1&amp;query=24.7006255,46.82128013", "View Map")</f>
        <v>View Map</v>
      </c>
    </row>
    <row r="1165" spans="1:7" x14ac:dyDescent="0.3">
      <c r="A1165" t="s">
        <v>27</v>
      </c>
      <c r="B1165" t="s">
        <v>1954</v>
      </c>
      <c r="C1165" t="s">
        <v>9</v>
      </c>
      <c r="D1165" t="s">
        <v>154</v>
      </c>
      <c r="E1165">
        <v>534</v>
      </c>
      <c r="F1165" t="b">
        <v>1</v>
      </c>
      <c r="G1165" t="str">
        <f>HYPERLINK("https://www.google.com/maps/search/?api=1&amp;query=0.0,0.0", "View Map")</f>
        <v>View Map</v>
      </c>
    </row>
    <row r="1166" spans="1:7" x14ac:dyDescent="0.3">
      <c r="A1166" t="s">
        <v>1955</v>
      </c>
      <c r="B1166" t="s">
        <v>1956</v>
      </c>
      <c r="C1166" t="s">
        <v>9</v>
      </c>
      <c r="D1166" t="s">
        <v>154</v>
      </c>
      <c r="E1166">
        <v>534</v>
      </c>
      <c r="F1166" t="b">
        <v>1</v>
      </c>
      <c r="G1166" t="str">
        <f>HYPERLINK("https://www.google.com/maps/search/?api=1&amp;query=24.66087039,46.82038991", "View Map")</f>
        <v>View Map</v>
      </c>
    </row>
    <row r="1167" spans="1:7" x14ac:dyDescent="0.3">
      <c r="A1167" t="s">
        <v>194</v>
      </c>
      <c r="B1167" t="s">
        <v>1957</v>
      </c>
      <c r="C1167" t="s">
        <v>9</v>
      </c>
      <c r="D1167" t="s">
        <v>154</v>
      </c>
      <c r="E1167">
        <v>533</v>
      </c>
      <c r="F1167" t="b">
        <v>1</v>
      </c>
      <c r="G1167" t="str">
        <f>HYPERLINK("https://www.google.com/maps/search/?api=1&amp;query=24.81350778,46.81228237", "View Map")</f>
        <v>View Map</v>
      </c>
    </row>
    <row r="1168" spans="1:7" x14ac:dyDescent="0.3">
      <c r="A1168" t="s">
        <v>1958</v>
      </c>
      <c r="B1168" t="s">
        <v>1959</v>
      </c>
      <c r="C1168" t="s">
        <v>9</v>
      </c>
      <c r="D1168" t="s">
        <v>154</v>
      </c>
      <c r="E1168">
        <v>533</v>
      </c>
      <c r="F1168" t="b">
        <v>1</v>
      </c>
      <c r="G1168" t="str">
        <f>HYPERLINK("https://www.google.com/maps/search/?api=1&amp;query=24.65496873,46.57665986", "View Map")</f>
        <v>View Map</v>
      </c>
    </row>
    <row r="1169" spans="1:7" x14ac:dyDescent="0.3">
      <c r="A1169" t="s">
        <v>27</v>
      </c>
      <c r="B1169" t="s">
        <v>1960</v>
      </c>
      <c r="C1169" t="s">
        <v>9</v>
      </c>
      <c r="D1169" t="s">
        <v>154</v>
      </c>
      <c r="E1169">
        <v>533</v>
      </c>
      <c r="F1169" t="b">
        <v>1</v>
      </c>
      <c r="G1169" t="str">
        <f>HYPERLINK("https://www.google.com/maps/search/?api=1&amp;query=24.68382281,46.58055853", "View Map")</f>
        <v>View Map</v>
      </c>
    </row>
    <row r="1170" spans="1:7" x14ac:dyDescent="0.3">
      <c r="A1170" t="s">
        <v>1961</v>
      </c>
      <c r="B1170" t="s">
        <v>1962</v>
      </c>
      <c r="C1170" t="s">
        <v>9</v>
      </c>
      <c r="D1170" t="s">
        <v>154</v>
      </c>
      <c r="E1170">
        <v>532</v>
      </c>
      <c r="F1170" t="b">
        <v>1</v>
      </c>
      <c r="G1170" t="str">
        <f>HYPERLINK("https://www.google.com/maps/search/?api=1&amp;query=24.63186336,46.56191313", "View Map")</f>
        <v>View Map</v>
      </c>
    </row>
    <row r="1171" spans="1:7" x14ac:dyDescent="0.3">
      <c r="A1171" t="s">
        <v>327</v>
      </c>
      <c r="B1171" t="s">
        <v>1963</v>
      </c>
      <c r="C1171" t="s">
        <v>9</v>
      </c>
      <c r="D1171" t="s">
        <v>154</v>
      </c>
      <c r="E1171">
        <v>531</v>
      </c>
      <c r="F1171" t="b">
        <v>1</v>
      </c>
      <c r="G1171" t="str">
        <f>HYPERLINK("https://www.google.com/maps/search/?api=1&amp;query=24.70655661,46.77345662", "View Map")</f>
        <v>View Map</v>
      </c>
    </row>
    <row r="1172" spans="1:7" x14ac:dyDescent="0.3">
      <c r="A1172" t="s">
        <v>159</v>
      </c>
      <c r="B1172" t="s">
        <v>1964</v>
      </c>
      <c r="C1172" t="s">
        <v>9</v>
      </c>
      <c r="D1172" t="s">
        <v>154</v>
      </c>
      <c r="E1172">
        <v>530</v>
      </c>
      <c r="F1172" t="b">
        <v>1</v>
      </c>
      <c r="G1172" t="str">
        <f>HYPERLINK("https://www.google.com/maps/search/?api=1&amp;query=24.52301129,46.64291644", "View Map")</f>
        <v>View Map</v>
      </c>
    </row>
    <row r="1173" spans="1:7" x14ac:dyDescent="0.3">
      <c r="A1173" t="s">
        <v>1965</v>
      </c>
      <c r="B1173" t="s">
        <v>1966</v>
      </c>
      <c r="C1173" t="s">
        <v>9</v>
      </c>
      <c r="D1173" t="s">
        <v>154</v>
      </c>
      <c r="E1173">
        <v>530</v>
      </c>
      <c r="F1173" t="b">
        <v>1</v>
      </c>
      <c r="G1173" t="str">
        <f>HYPERLINK("https://www.google.com/maps/search/?api=1&amp;query=24.70025958,46.63927743", "View Map")</f>
        <v>View Map</v>
      </c>
    </row>
    <row r="1174" spans="1:7" x14ac:dyDescent="0.3">
      <c r="A1174" t="s">
        <v>1967</v>
      </c>
      <c r="B1174" t="s">
        <v>1968</v>
      </c>
      <c r="C1174" t="s">
        <v>9</v>
      </c>
      <c r="D1174" t="s">
        <v>154</v>
      </c>
      <c r="E1174">
        <v>529</v>
      </c>
      <c r="F1174" t="b">
        <v>1</v>
      </c>
      <c r="G1174" t="str">
        <f>HYPERLINK("https://www.google.com/maps/search/?api=1&amp;query=24.69498401,46.78966611", "View Map")</f>
        <v>View Map</v>
      </c>
    </row>
    <row r="1175" spans="1:7" x14ac:dyDescent="0.3">
      <c r="A1175" t="s">
        <v>586</v>
      </c>
      <c r="B1175" t="s">
        <v>1969</v>
      </c>
      <c r="C1175" t="s">
        <v>9</v>
      </c>
      <c r="D1175" t="s">
        <v>154</v>
      </c>
      <c r="E1175">
        <v>529</v>
      </c>
      <c r="F1175" t="b">
        <v>1</v>
      </c>
      <c r="G1175" t="str">
        <f>HYPERLINK("https://www.google.com/maps/search/?api=1&amp;query=24.73929471,46.7187042", "View Map")</f>
        <v>View Map</v>
      </c>
    </row>
    <row r="1176" spans="1:7" x14ac:dyDescent="0.3">
      <c r="A1176" t="s">
        <v>27</v>
      </c>
      <c r="B1176" t="s">
        <v>1970</v>
      </c>
      <c r="C1176" t="s">
        <v>9</v>
      </c>
      <c r="D1176" t="s">
        <v>154</v>
      </c>
      <c r="E1176">
        <v>529</v>
      </c>
      <c r="F1176" t="b">
        <v>1</v>
      </c>
      <c r="G1176" t="str">
        <f>HYPERLINK("https://www.google.com/maps/search/?api=1&amp;query=24.8261,46.6792", "View Map")</f>
        <v>View Map</v>
      </c>
    </row>
    <row r="1177" spans="1:7" x14ac:dyDescent="0.3">
      <c r="A1177" t="s">
        <v>1971</v>
      </c>
      <c r="B1177" t="s">
        <v>1972</v>
      </c>
      <c r="C1177" t="s">
        <v>9</v>
      </c>
      <c r="D1177" t="s">
        <v>154</v>
      </c>
      <c r="E1177">
        <v>528</v>
      </c>
      <c r="F1177" t="b">
        <v>1</v>
      </c>
      <c r="G1177" t="str">
        <f>HYPERLINK("https://www.google.com/maps/search/?api=1&amp;query=24.60857789,46.73029463", "View Map")</f>
        <v>View Map</v>
      </c>
    </row>
    <row r="1178" spans="1:7" x14ac:dyDescent="0.3">
      <c r="A1178" t="s">
        <v>1973</v>
      </c>
      <c r="B1178" t="s">
        <v>1974</v>
      </c>
      <c r="C1178" t="s">
        <v>9</v>
      </c>
      <c r="D1178" t="s">
        <v>154</v>
      </c>
      <c r="E1178">
        <v>528</v>
      </c>
      <c r="F1178" t="b">
        <v>1</v>
      </c>
      <c r="G1178" t="str">
        <f>HYPERLINK("https://www.google.com/maps/search/?api=1&amp;query=24.59439349,46.74620172", "View Map")</f>
        <v>View Map</v>
      </c>
    </row>
    <row r="1179" spans="1:7" x14ac:dyDescent="0.3">
      <c r="A1179" t="s">
        <v>159</v>
      </c>
      <c r="B1179" t="s">
        <v>1975</v>
      </c>
      <c r="C1179" t="s">
        <v>9</v>
      </c>
      <c r="D1179" t="s">
        <v>154</v>
      </c>
      <c r="E1179">
        <v>528</v>
      </c>
      <c r="F1179" t="b">
        <v>1</v>
      </c>
      <c r="G1179" t="str">
        <f>HYPERLINK("https://www.google.com/maps/search/?api=1&amp;query=24.56172337,46.57817441", "View Map")</f>
        <v>View Map</v>
      </c>
    </row>
    <row r="1180" spans="1:7" x14ac:dyDescent="0.3">
      <c r="A1180" t="s">
        <v>27</v>
      </c>
      <c r="B1180" t="s">
        <v>1976</v>
      </c>
      <c r="C1180" t="s">
        <v>9</v>
      </c>
      <c r="D1180" t="s">
        <v>154</v>
      </c>
      <c r="E1180">
        <v>527</v>
      </c>
      <c r="F1180" t="b">
        <v>1</v>
      </c>
      <c r="G1180" t="str">
        <f>HYPERLINK("https://www.google.com/maps/search/?api=1&amp;query=24.83047201,46.60662697", "View Map")</f>
        <v>View Map</v>
      </c>
    </row>
    <row r="1181" spans="1:7" x14ac:dyDescent="0.3">
      <c r="A1181" t="s">
        <v>1977</v>
      </c>
      <c r="B1181" t="s">
        <v>1978</v>
      </c>
      <c r="C1181" t="s">
        <v>9</v>
      </c>
      <c r="D1181" t="s">
        <v>154</v>
      </c>
      <c r="E1181">
        <v>527</v>
      </c>
      <c r="F1181" t="b">
        <v>1</v>
      </c>
      <c r="G1181" t="str">
        <f>HYPERLINK("https://www.google.com/maps/search/?api=1&amp;query=24.63898121,46.67516509", "View Map")</f>
        <v>View Map</v>
      </c>
    </row>
    <row r="1182" spans="1:7" x14ac:dyDescent="0.3">
      <c r="A1182" t="s">
        <v>1979</v>
      </c>
      <c r="B1182" t="s">
        <v>1980</v>
      </c>
      <c r="C1182" t="s">
        <v>9</v>
      </c>
      <c r="D1182" t="s">
        <v>154</v>
      </c>
      <c r="E1182">
        <v>526</v>
      </c>
      <c r="F1182" t="b">
        <v>1</v>
      </c>
      <c r="G1182" t="str">
        <f>HYPERLINK("https://www.google.com/maps/search/?api=1&amp;query=24.80514492,46.77496815", "View Map")</f>
        <v>View Map</v>
      </c>
    </row>
    <row r="1183" spans="1:7" x14ac:dyDescent="0.3">
      <c r="A1183" t="s">
        <v>1981</v>
      </c>
      <c r="B1183" t="s">
        <v>1982</v>
      </c>
      <c r="C1183" t="s">
        <v>9</v>
      </c>
      <c r="D1183" t="s">
        <v>154</v>
      </c>
      <c r="E1183">
        <v>526</v>
      </c>
      <c r="F1183" t="b">
        <v>1</v>
      </c>
      <c r="G1183" t="str">
        <f>HYPERLINK("https://www.google.com/maps/search/?api=1&amp;query=24.6075,46.6644", "View Map")</f>
        <v>View Map</v>
      </c>
    </row>
    <row r="1184" spans="1:7" x14ac:dyDescent="0.3">
      <c r="A1184" t="s">
        <v>1983</v>
      </c>
      <c r="B1184" t="s">
        <v>1984</v>
      </c>
      <c r="C1184" t="s">
        <v>72</v>
      </c>
      <c r="D1184" t="s">
        <v>154</v>
      </c>
      <c r="E1184">
        <v>526</v>
      </c>
      <c r="F1184" t="b">
        <v>1</v>
      </c>
      <c r="G1184" t="str">
        <f>HYPERLINK("https://www.google.com/maps/search/?api=1&amp;query=24.89695548,46.29572851", "View Map")</f>
        <v>View Map</v>
      </c>
    </row>
    <row r="1185" spans="1:7" x14ac:dyDescent="0.3">
      <c r="A1185" t="s">
        <v>159</v>
      </c>
      <c r="B1185" t="s">
        <v>1985</v>
      </c>
      <c r="C1185" t="s">
        <v>9</v>
      </c>
      <c r="D1185" t="s">
        <v>154</v>
      </c>
      <c r="E1185">
        <v>526</v>
      </c>
      <c r="F1185" t="b">
        <v>1</v>
      </c>
      <c r="G1185" t="str">
        <f>HYPERLINK("https://www.google.com/maps/search/?api=1&amp;query=24.56347807,46.5287017", "View Map")</f>
        <v>View Map</v>
      </c>
    </row>
    <row r="1186" spans="1:7" x14ac:dyDescent="0.3">
      <c r="A1186" t="s">
        <v>1986</v>
      </c>
      <c r="B1186" t="s">
        <v>1987</v>
      </c>
      <c r="C1186" t="s">
        <v>72</v>
      </c>
      <c r="D1186" t="s">
        <v>154</v>
      </c>
      <c r="E1186">
        <v>525</v>
      </c>
      <c r="F1186" t="b">
        <v>1</v>
      </c>
      <c r="G1186" t="str">
        <f>HYPERLINK("https://www.google.com/maps/search/?api=1&amp;query=24.76719441,46.58582488", "View Map")</f>
        <v>View Map</v>
      </c>
    </row>
    <row r="1187" spans="1:7" x14ac:dyDescent="0.3">
      <c r="A1187" t="s">
        <v>350</v>
      </c>
      <c r="B1187" t="s">
        <v>1988</v>
      </c>
      <c r="C1187" t="s">
        <v>9</v>
      </c>
      <c r="D1187" t="s">
        <v>154</v>
      </c>
      <c r="E1187">
        <v>525</v>
      </c>
      <c r="F1187" t="b">
        <v>1</v>
      </c>
      <c r="G1187" t="str">
        <f>HYPERLINK("https://www.google.com/maps/search/?api=1&amp;query=24.84124936,46.8070651", "View Map")</f>
        <v>View Map</v>
      </c>
    </row>
    <row r="1188" spans="1:7" x14ac:dyDescent="0.3">
      <c r="A1188" t="s">
        <v>1989</v>
      </c>
      <c r="B1188" t="s">
        <v>1990</v>
      </c>
      <c r="C1188" t="s">
        <v>9</v>
      </c>
      <c r="D1188" t="s">
        <v>154</v>
      </c>
      <c r="E1188">
        <v>525</v>
      </c>
      <c r="F1188" t="b">
        <v>1</v>
      </c>
      <c r="G1188" t="str">
        <f>HYPERLINK("https://www.google.com/maps/search/?api=1&amp;query=24.77679296,46.76421406", "View Map")</f>
        <v>View Map</v>
      </c>
    </row>
    <row r="1189" spans="1:7" x14ac:dyDescent="0.3">
      <c r="A1189" t="s">
        <v>1991</v>
      </c>
      <c r="B1189" t="s">
        <v>1992</v>
      </c>
      <c r="C1189" t="s">
        <v>72</v>
      </c>
      <c r="D1189" t="s">
        <v>154</v>
      </c>
      <c r="E1189">
        <v>524</v>
      </c>
      <c r="F1189" t="b">
        <v>0</v>
      </c>
      <c r="G1189" t="str">
        <f>HYPERLINK("https://www.google.com/maps/search/?api=1&amp;query=24.74675351,46.55903499", "View Map")</f>
        <v>View Map</v>
      </c>
    </row>
    <row r="1190" spans="1:7" x14ac:dyDescent="0.3">
      <c r="A1190" t="s">
        <v>1993</v>
      </c>
      <c r="B1190" t="s">
        <v>1994</v>
      </c>
      <c r="C1190" t="s">
        <v>9</v>
      </c>
      <c r="D1190" t="s">
        <v>154</v>
      </c>
      <c r="E1190">
        <v>524</v>
      </c>
      <c r="F1190" t="b">
        <v>1</v>
      </c>
      <c r="G1190" t="str">
        <f>HYPERLINK("https://www.google.com/maps/search/?api=1&amp;query=24.80437328,46.64869483", "View Map")</f>
        <v>View Map</v>
      </c>
    </row>
    <row r="1191" spans="1:7" x14ac:dyDescent="0.3">
      <c r="A1191" t="s">
        <v>1767</v>
      </c>
      <c r="B1191" t="s">
        <v>1995</v>
      </c>
      <c r="C1191" t="s">
        <v>9</v>
      </c>
      <c r="D1191" t="s">
        <v>154</v>
      </c>
      <c r="E1191">
        <v>524</v>
      </c>
      <c r="F1191" t="b">
        <v>1</v>
      </c>
      <c r="G1191" t="str">
        <f>HYPERLINK("https://www.google.com/maps/search/?api=1&amp;query=24.80307341,46.66421015", "View Map")</f>
        <v>View Map</v>
      </c>
    </row>
    <row r="1192" spans="1:7" x14ac:dyDescent="0.3">
      <c r="A1192" t="s">
        <v>27</v>
      </c>
      <c r="B1192" t="s">
        <v>1996</v>
      </c>
      <c r="C1192" t="s">
        <v>9</v>
      </c>
      <c r="D1192" t="s">
        <v>154</v>
      </c>
      <c r="E1192">
        <v>523</v>
      </c>
      <c r="F1192" t="b">
        <v>1</v>
      </c>
      <c r="G1192" t="str">
        <f>HYPERLINK("https://www.google.com/maps/search/?api=1&amp;query=24.63385237,46.5697945", "View Map")</f>
        <v>View Map</v>
      </c>
    </row>
    <row r="1193" spans="1:7" x14ac:dyDescent="0.3">
      <c r="A1193" t="s">
        <v>1997</v>
      </c>
      <c r="B1193" t="s">
        <v>1998</v>
      </c>
      <c r="C1193" t="s">
        <v>9</v>
      </c>
      <c r="D1193" t="s">
        <v>154</v>
      </c>
      <c r="E1193">
        <v>523</v>
      </c>
      <c r="F1193" t="b">
        <v>1</v>
      </c>
      <c r="G1193" t="str">
        <f>HYPERLINK("https://www.google.com/maps/search/?api=1&amp;query=24.54508074,46.6916449", "View Map")</f>
        <v>View Map</v>
      </c>
    </row>
    <row r="1194" spans="1:7" x14ac:dyDescent="0.3">
      <c r="A1194" t="s">
        <v>1999</v>
      </c>
      <c r="B1194" t="s">
        <v>2000</v>
      </c>
      <c r="C1194" t="s">
        <v>9</v>
      </c>
      <c r="D1194" t="s">
        <v>154</v>
      </c>
      <c r="E1194">
        <v>522</v>
      </c>
      <c r="F1194" t="b">
        <v>1</v>
      </c>
      <c r="G1194" t="str">
        <f>HYPERLINK("https://www.google.com/maps/search/?api=1&amp;query=24.79351,46.77427", "View Map")</f>
        <v>View Map</v>
      </c>
    </row>
    <row r="1195" spans="1:7" x14ac:dyDescent="0.3">
      <c r="A1195" t="s">
        <v>27</v>
      </c>
      <c r="B1195" t="s">
        <v>2001</v>
      </c>
      <c r="C1195" t="s">
        <v>9</v>
      </c>
      <c r="D1195" t="s">
        <v>154</v>
      </c>
      <c r="E1195">
        <v>522</v>
      </c>
      <c r="F1195" t="b">
        <v>1</v>
      </c>
      <c r="G1195" t="str">
        <f>HYPERLINK("https://www.google.com/maps/search/?api=1&amp;query=24.8276279,46.80258216", "View Map")</f>
        <v>View Map</v>
      </c>
    </row>
    <row r="1196" spans="1:7" x14ac:dyDescent="0.3">
      <c r="A1196" t="s">
        <v>759</v>
      </c>
      <c r="B1196" t="s">
        <v>2002</v>
      </c>
      <c r="C1196" t="s">
        <v>9</v>
      </c>
      <c r="D1196" t="s">
        <v>154</v>
      </c>
      <c r="E1196">
        <v>521</v>
      </c>
      <c r="F1196" t="b">
        <v>1</v>
      </c>
      <c r="G1196" t="str">
        <f>HYPERLINK("https://www.google.com/maps/search/?api=1&amp;query=24.77451704,46.71654556", "View Map")</f>
        <v>View Map</v>
      </c>
    </row>
    <row r="1197" spans="1:7" x14ac:dyDescent="0.3">
      <c r="A1197" t="s">
        <v>2003</v>
      </c>
      <c r="B1197" t="s">
        <v>2004</v>
      </c>
      <c r="C1197" t="s">
        <v>9</v>
      </c>
      <c r="D1197" t="s">
        <v>154</v>
      </c>
      <c r="E1197">
        <v>521</v>
      </c>
      <c r="F1197" t="b">
        <v>1</v>
      </c>
      <c r="G1197" t="str">
        <f>HYPERLINK("https://www.google.com/maps/search/?api=1&amp;query=24.76015784,46.61615019", "View Map")</f>
        <v>View Map</v>
      </c>
    </row>
    <row r="1198" spans="1:7" x14ac:dyDescent="0.3">
      <c r="A1198" t="s">
        <v>159</v>
      </c>
      <c r="B1198" t="s">
        <v>2005</v>
      </c>
      <c r="C1198" t="s">
        <v>9</v>
      </c>
      <c r="D1198" t="s">
        <v>154</v>
      </c>
      <c r="E1198">
        <v>521</v>
      </c>
      <c r="F1198" t="b">
        <v>1</v>
      </c>
      <c r="G1198" t="str">
        <f>HYPERLINK("https://www.google.com/maps/search/?api=1&amp;query=24.5567,46.5722", "View Map")</f>
        <v>View Map</v>
      </c>
    </row>
    <row r="1199" spans="1:7" x14ac:dyDescent="0.3">
      <c r="A1199" t="s">
        <v>2006</v>
      </c>
      <c r="B1199" t="s">
        <v>2007</v>
      </c>
      <c r="C1199" t="s">
        <v>9</v>
      </c>
      <c r="D1199" t="s">
        <v>154</v>
      </c>
      <c r="E1199">
        <v>520</v>
      </c>
      <c r="F1199" t="b">
        <v>1</v>
      </c>
      <c r="G1199" t="str">
        <f>HYPERLINK("https://www.google.com/maps/search/?api=1&amp;query=24.82283934,46.74173806", "View Map")</f>
        <v>View Map</v>
      </c>
    </row>
    <row r="1200" spans="1:7" x14ac:dyDescent="0.3">
      <c r="A1200" t="s">
        <v>2008</v>
      </c>
      <c r="B1200" t="s">
        <v>2009</v>
      </c>
      <c r="C1200" t="s">
        <v>9</v>
      </c>
      <c r="D1200" t="s">
        <v>154</v>
      </c>
      <c r="E1200">
        <v>520</v>
      </c>
      <c r="F1200" t="b">
        <v>1</v>
      </c>
      <c r="G1200" t="str">
        <f>HYPERLINK("https://www.google.com/maps/search/?api=1&amp;query=24.56301245,46.84785748", "View Map")</f>
        <v>View Map</v>
      </c>
    </row>
    <row r="1201" spans="1:7" x14ac:dyDescent="0.3">
      <c r="A1201" t="s">
        <v>27</v>
      </c>
      <c r="B1201" t="s">
        <v>2010</v>
      </c>
      <c r="C1201" t="s">
        <v>9</v>
      </c>
      <c r="D1201" t="s">
        <v>154</v>
      </c>
      <c r="E1201">
        <v>520</v>
      </c>
      <c r="F1201" t="b">
        <v>1</v>
      </c>
      <c r="G1201" t="str">
        <f>HYPERLINK("https://www.google.com/maps/search/?api=1&amp;query=24.80907716,46.60710124", "View Map")</f>
        <v>View Map</v>
      </c>
    </row>
    <row r="1202" spans="1:7" x14ac:dyDescent="0.3">
      <c r="A1202" t="s">
        <v>159</v>
      </c>
      <c r="B1202" t="s">
        <v>2011</v>
      </c>
      <c r="C1202" t="s">
        <v>9</v>
      </c>
      <c r="D1202" t="s">
        <v>154</v>
      </c>
      <c r="E1202">
        <v>520</v>
      </c>
      <c r="F1202" t="b">
        <v>1</v>
      </c>
      <c r="G1202" t="str">
        <f>HYPERLINK("https://www.google.com/maps/search/?api=1&amp;query=24.6156,46.6939", "View Map")</f>
        <v>View Map</v>
      </c>
    </row>
    <row r="1203" spans="1:7" x14ac:dyDescent="0.3">
      <c r="A1203" t="s">
        <v>829</v>
      </c>
      <c r="B1203" t="s">
        <v>2012</v>
      </c>
      <c r="C1203" t="s">
        <v>9</v>
      </c>
      <c r="D1203" t="s">
        <v>154</v>
      </c>
      <c r="E1203">
        <v>520</v>
      </c>
      <c r="F1203" t="b">
        <v>1</v>
      </c>
      <c r="G1203" t="str">
        <f>HYPERLINK("https://www.google.com/maps/search/?api=1&amp;query=24.58107035,46.7845072", "View Map")</f>
        <v>View Map</v>
      </c>
    </row>
    <row r="1204" spans="1:7" x14ac:dyDescent="0.3">
      <c r="A1204" t="s">
        <v>2013</v>
      </c>
      <c r="B1204" t="s">
        <v>2014</v>
      </c>
      <c r="C1204" t="s">
        <v>9</v>
      </c>
      <c r="D1204" t="s">
        <v>154</v>
      </c>
      <c r="E1204">
        <v>519</v>
      </c>
      <c r="F1204" t="b">
        <v>1</v>
      </c>
      <c r="G1204" t="str">
        <f>HYPERLINK("https://www.google.com/maps/search/?api=1&amp;query=24.77233472,46.76407745", "View Map")</f>
        <v>View Map</v>
      </c>
    </row>
    <row r="1205" spans="1:7" x14ac:dyDescent="0.3">
      <c r="A1205" t="s">
        <v>27</v>
      </c>
      <c r="B1205" t="s">
        <v>2015</v>
      </c>
      <c r="C1205" t="s">
        <v>9</v>
      </c>
      <c r="D1205" t="s">
        <v>154</v>
      </c>
      <c r="E1205">
        <v>519</v>
      </c>
      <c r="F1205" t="b">
        <v>1</v>
      </c>
      <c r="G1205" t="str">
        <f>HYPERLINK("https://www.google.com/maps/search/?api=1&amp;query=24.87392999,46.61298512", "View Map")</f>
        <v>View Map</v>
      </c>
    </row>
    <row r="1206" spans="1:7" x14ac:dyDescent="0.3">
      <c r="A1206" t="s">
        <v>27</v>
      </c>
      <c r="B1206" t="s">
        <v>2016</v>
      </c>
      <c r="C1206" t="s">
        <v>9</v>
      </c>
      <c r="D1206" t="s">
        <v>154</v>
      </c>
      <c r="E1206">
        <v>519</v>
      </c>
      <c r="F1206" t="b">
        <v>1</v>
      </c>
      <c r="G1206" t="str">
        <f>HYPERLINK("https://www.google.com/maps/search/?api=1&amp;query=24.68199808,46.56583415", "View Map")</f>
        <v>View Map</v>
      </c>
    </row>
    <row r="1207" spans="1:7" x14ac:dyDescent="0.3">
      <c r="A1207" t="s">
        <v>829</v>
      </c>
      <c r="B1207" t="s">
        <v>2017</v>
      </c>
      <c r="C1207" t="s">
        <v>9</v>
      </c>
      <c r="D1207" t="s">
        <v>154</v>
      </c>
      <c r="E1207">
        <v>519</v>
      </c>
      <c r="F1207" t="b">
        <v>1</v>
      </c>
      <c r="G1207" t="str">
        <f>HYPERLINK("https://www.google.com/maps/search/?api=1&amp;query=24.59573145,46.75077188", "View Map")</f>
        <v>View Map</v>
      </c>
    </row>
    <row r="1208" spans="1:7" x14ac:dyDescent="0.3">
      <c r="A1208" t="s">
        <v>2018</v>
      </c>
      <c r="B1208" t="s">
        <v>2019</v>
      </c>
      <c r="C1208" t="s">
        <v>9</v>
      </c>
      <c r="D1208" t="s">
        <v>154</v>
      </c>
      <c r="E1208">
        <v>519</v>
      </c>
      <c r="F1208" t="b">
        <v>0</v>
      </c>
      <c r="G1208" t="str">
        <f>HYPERLINK("https://www.google.com/maps/search/?api=1&amp;query=24.73936673,46.77634728", "View Map")</f>
        <v>View Map</v>
      </c>
    </row>
    <row r="1209" spans="1:7" x14ac:dyDescent="0.3">
      <c r="A1209" t="s">
        <v>2020</v>
      </c>
      <c r="B1209" t="s">
        <v>2021</v>
      </c>
      <c r="C1209" t="s">
        <v>9</v>
      </c>
      <c r="D1209" t="s">
        <v>1715</v>
      </c>
      <c r="E1209">
        <v>519</v>
      </c>
      <c r="F1209" t="b">
        <v>1</v>
      </c>
      <c r="G1209" t="str">
        <f>HYPERLINK("https://www.google.com/maps/search/?api=1&amp;query=24.5558777,46.79015483", "View Map")</f>
        <v>View Map</v>
      </c>
    </row>
    <row r="1210" spans="1:7" x14ac:dyDescent="0.3">
      <c r="A1210" t="s">
        <v>27</v>
      </c>
      <c r="B1210" t="s">
        <v>2022</v>
      </c>
      <c r="C1210" t="s">
        <v>9</v>
      </c>
      <c r="D1210" t="s">
        <v>154</v>
      </c>
      <c r="E1210">
        <v>518</v>
      </c>
      <c r="F1210" t="b">
        <v>1</v>
      </c>
      <c r="G1210" t="str">
        <f>HYPERLINK("https://www.google.com/maps/search/?api=1&amp;query=24.81066695,46.8276515", "View Map")</f>
        <v>View Map</v>
      </c>
    </row>
    <row r="1211" spans="1:7" x14ac:dyDescent="0.3">
      <c r="A1211" t="s">
        <v>27</v>
      </c>
      <c r="B1211" t="s">
        <v>2023</v>
      </c>
      <c r="C1211" t="s">
        <v>9</v>
      </c>
      <c r="D1211" t="s">
        <v>154</v>
      </c>
      <c r="E1211">
        <v>518</v>
      </c>
      <c r="F1211" t="b">
        <v>1</v>
      </c>
      <c r="G1211" t="str">
        <f>HYPERLINK("https://www.google.com/maps/search/?api=1&amp;query=24.67053403,46.54612797", "View Map")</f>
        <v>View Map</v>
      </c>
    </row>
    <row r="1212" spans="1:7" x14ac:dyDescent="0.3">
      <c r="A1212" t="s">
        <v>2024</v>
      </c>
      <c r="B1212" t="s">
        <v>2025</v>
      </c>
      <c r="C1212" t="s">
        <v>9</v>
      </c>
      <c r="D1212" t="s">
        <v>154</v>
      </c>
      <c r="E1212">
        <v>517</v>
      </c>
      <c r="F1212" t="b">
        <v>1</v>
      </c>
      <c r="G1212" t="str">
        <f>HYPERLINK("https://www.google.com/maps/search/?api=1&amp;query=24.78637907,46.77580592", "View Map")</f>
        <v>View Map</v>
      </c>
    </row>
    <row r="1213" spans="1:7" x14ac:dyDescent="0.3">
      <c r="A1213" t="s">
        <v>2026</v>
      </c>
      <c r="B1213" t="s">
        <v>2027</v>
      </c>
      <c r="C1213" t="s">
        <v>9</v>
      </c>
      <c r="D1213" t="s">
        <v>154</v>
      </c>
      <c r="E1213">
        <v>517</v>
      </c>
      <c r="F1213" t="b">
        <v>1</v>
      </c>
      <c r="G1213" t="str">
        <f>HYPERLINK("https://www.google.com/maps/search/?api=1&amp;query=24.6398036,46.71630179", "View Map")</f>
        <v>View Map</v>
      </c>
    </row>
    <row r="1214" spans="1:7" x14ac:dyDescent="0.3">
      <c r="A1214" t="s">
        <v>159</v>
      </c>
      <c r="B1214" t="s">
        <v>2028</v>
      </c>
      <c r="C1214" t="s">
        <v>9</v>
      </c>
      <c r="D1214" t="s">
        <v>154</v>
      </c>
      <c r="E1214">
        <v>516</v>
      </c>
      <c r="F1214" t="b">
        <v>1</v>
      </c>
      <c r="G1214" t="str">
        <f>HYPERLINK("https://www.google.com/maps/search/?api=1&amp;query=24.5572,46.5258", "View Map")</f>
        <v>View Map</v>
      </c>
    </row>
    <row r="1215" spans="1:7" x14ac:dyDescent="0.3">
      <c r="A1215" t="s">
        <v>2029</v>
      </c>
      <c r="B1215" t="s">
        <v>2030</v>
      </c>
      <c r="C1215" t="s">
        <v>9</v>
      </c>
      <c r="D1215" t="s">
        <v>154</v>
      </c>
      <c r="E1215">
        <v>516</v>
      </c>
      <c r="F1215" t="b">
        <v>1</v>
      </c>
      <c r="G1215" t="str">
        <f>HYPERLINK("https://www.google.com/maps/search/?api=1&amp;query=24.8213314,46.62972164", "View Map")</f>
        <v>View Map</v>
      </c>
    </row>
    <row r="1216" spans="1:7" x14ac:dyDescent="0.3">
      <c r="A1216" t="s">
        <v>27</v>
      </c>
      <c r="B1216" t="s">
        <v>2031</v>
      </c>
      <c r="C1216" t="s">
        <v>9</v>
      </c>
      <c r="D1216" t="s">
        <v>154</v>
      </c>
      <c r="E1216">
        <v>516</v>
      </c>
      <c r="F1216" t="b">
        <v>1</v>
      </c>
      <c r="G1216" t="str">
        <f>HYPERLINK("https://www.google.com/maps/search/?api=1&amp;query=24.6058,46.5139", "View Map")</f>
        <v>View Map</v>
      </c>
    </row>
    <row r="1217" spans="1:7" x14ac:dyDescent="0.3">
      <c r="A1217" t="s">
        <v>2032</v>
      </c>
      <c r="B1217" t="s">
        <v>2033</v>
      </c>
      <c r="C1217" t="s">
        <v>9</v>
      </c>
      <c r="D1217" t="s">
        <v>154</v>
      </c>
      <c r="E1217">
        <v>516</v>
      </c>
      <c r="F1217" t="b">
        <v>1</v>
      </c>
      <c r="G1217" t="str">
        <f>HYPERLINK("https://www.google.com/maps/search/?api=1&amp;query=24.53152096,46.72424144", "View Map")</f>
        <v>View Map</v>
      </c>
    </row>
    <row r="1218" spans="1:7" x14ac:dyDescent="0.3">
      <c r="A1218" t="s">
        <v>2034</v>
      </c>
      <c r="B1218" t="s">
        <v>2035</v>
      </c>
      <c r="C1218" t="s">
        <v>9</v>
      </c>
      <c r="D1218" t="s">
        <v>154</v>
      </c>
      <c r="E1218">
        <v>516</v>
      </c>
      <c r="F1218" t="b">
        <v>1</v>
      </c>
      <c r="G1218" t="str">
        <f>HYPERLINK("https://www.google.com/maps/search/?api=1&amp;query=24.78851025,46.78542207", "View Map")</f>
        <v>View Map</v>
      </c>
    </row>
    <row r="1219" spans="1:7" x14ac:dyDescent="0.3">
      <c r="A1219" t="s">
        <v>2036</v>
      </c>
      <c r="B1219" t="s">
        <v>2037</v>
      </c>
      <c r="C1219" t="s">
        <v>9</v>
      </c>
      <c r="D1219" t="s">
        <v>154</v>
      </c>
      <c r="E1219">
        <v>515</v>
      </c>
      <c r="F1219" t="b">
        <v>1</v>
      </c>
      <c r="G1219" t="str">
        <f>HYPERLINK("https://www.google.com/maps/search/?api=1&amp;query=24.59104233,46.5864018", "View Map")</f>
        <v>View Map</v>
      </c>
    </row>
    <row r="1220" spans="1:7" x14ac:dyDescent="0.3">
      <c r="A1220" t="s">
        <v>2038</v>
      </c>
      <c r="B1220" t="s">
        <v>2039</v>
      </c>
      <c r="C1220" t="s">
        <v>9</v>
      </c>
      <c r="D1220" t="s">
        <v>154</v>
      </c>
      <c r="E1220">
        <v>515</v>
      </c>
      <c r="F1220" t="b">
        <v>1</v>
      </c>
      <c r="G1220" t="str">
        <f>HYPERLINK("https://www.google.com/maps/search/?api=1&amp;query=24.52648685,46.70435573", "View Map")</f>
        <v>View Map</v>
      </c>
    </row>
    <row r="1221" spans="1:7" x14ac:dyDescent="0.3">
      <c r="A1221" t="s">
        <v>2040</v>
      </c>
      <c r="B1221" t="s">
        <v>2041</v>
      </c>
      <c r="C1221" t="s">
        <v>9</v>
      </c>
      <c r="D1221" t="s">
        <v>154</v>
      </c>
      <c r="E1221">
        <v>514</v>
      </c>
      <c r="F1221" t="b">
        <v>1</v>
      </c>
      <c r="G1221" t="str">
        <f>HYPERLINK("https://www.google.com/maps/search/?api=1&amp;query=24.53087995,46.69445532", "View Map")</f>
        <v>View Map</v>
      </c>
    </row>
    <row r="1222" spans="1:7" x14ac:dyDescent="0.3">
      <c r="A1222" t="s">
        <v>2042</v>
      </c>
      <c r="B1222" t="s">
        <v>2043</v>
      </c>
      <c r="C1222" t="s">
        <v>9</v>
      </c>
      <c r="D1222" t="s">
        <v>154</v>
      </c>
      <c r="E1222">
        <v>514</v>
      </c>
      <c r="F1222" t="b">
        <v>1</v>
      </c>
      <c r="G1222" t="str">
        <f>HYPERLINK("https://www.google.com/maps/search/?api=1&amp;query=24.66557035,46.79826651", "View Map")</f>
        <v>View Map</v>
      </c>
    </row>
    <row r="1223" spans="1:7" x14ac:dyDescent="0.3">
      <c r="A1223" t="s">
        <v>2042</v>
      </c>
      <c r="B1223" t="s">
        <v>2044</v>
      </c>
      <c r="C1223" t="s">
        <v>9</v>
      </c>
      <c r="D1223" t="s">
        <v>154</v>
      </c>
      <c r="E1223">
        <v>514</v>
      </c>
      <c r="F1223" t="b">
        <v>1</v>
      </c>
      <c r="G1223" t="str">
        <f>HYPERLINK("https://www.google.com/maps/search/?api=1&amp;query=24.70482385,46.74874615", "View Map")</f>
        <v>View Map</v>
      </c>
    </row>
    <row r="1224" spans="1:7" x14ac:dyDescent="0.3">
      <c r="A1224" t="s">
        <v>159</v>
      </c>
      <c r="B1224" t="s">
        <v>2045</v>
      </c>
      <c r="C1224" t="s">
        <v>9</v>
      </c>
      <c r="D1224" t="s">
        <v>154</v>
      </c>
      <c r="E1224">
        <v>513</v>
      </c>
      <c r="F1224" t="b">
        <v>1</v>
      </c>
      <c r="G1224" t="str">
        <f>HYPERLINK("https://www.google.com/maps/search/?api=1&amp;query=24.55393782,46.60335925", "View Map")</f>
        <v>View Map</v>
      </c>
    </row>
    <row r="1225" spans="1:7" x14ac:dyDescent="0.3">
      <c r="A1225" t="s">
        <v>2046</v>
      </c>
      <c r="B1225" t="s">
        <v>2047</v>
      </c>
      <c r="C1225" t="s">
        <v>9</v>
      </c>
      <c r="D1225" t="s">
        <v>154</v>
      </c>
      <c r="E1225">
        <v>513</v>
      </c>
      <c r="F1225" t="b">
        <v>1</v>
      </c>
      <c r="G1225" t="str">
        <f>HYPERLINK("https://www.google.com/maps/search/?api=1&amp;query=24.53569995,46.66798414", "View Map")</f>
        <v>View Map</v>
      </c>
    </row>
    <row r="1226" spans="1:7" x14ac:dyDescent="0.3">
      <c r="A1226" t="s">
        <v>2048</v>
      </c>
      <c r="B1226" t="s">
        <v>2049</v>
      </c>
      <c r="C1226" t="s">
        <v>9</v>
      </c>
      <c r="D1226" t="s">
        <v>154</v>
      </c>
      <c r="E1226">
        <v>513</v>
      </c>
      <c r="F1226" t="b">
        <v>1</v>
      </c>
      <c r="G1226" t="str">
        <f>HYPERLINK("https://www.google.com/maps/search/?api=1&amp;query=24.79935376,46.79059894", "View Map")</f>
        <v>View Map</v>
      </c>
    </row>
    <row r="1227" spans="1:7" x14ac:dyDescent="0.3">
      <c r="A1227" t="s">
        <v>2050</v>
      </c>
      <c r="B1227" t="s">
        <v>2051</v>
      </c>
      <c r="C1227" t="s">
        <v>9</v>
      </c>
      <c r="D1227" t="s">
        <v>154</v>
      </c>
      <c r="E1227">
        <v>513</v>
      </c>
      <c r="F1227" t="b">
        <v>1</v>
      </c>
      <c r="G1227" t="str">
        <f>HYPERLINK("https://www.google.com/maps/search/?api=1&amp;query=24.75492832,46.64334662", "View Map")</f>
        <v>View Map</v>
      </c>
    </row>
    <row r="1228" spans="1:7" x14ac:dyDescent="0.3">
      <c r="A1228" t="s">
        <v>2052</v>
      </c>
      <c r="B1228" t="s">
        <v>2053</v>
      </c>
      <c r="C1228" t="s">
        <v>9</v>
      </c>
      <c r="D1228" t="s">
        <v>154</v>
      </c>
      <c r="E1228">
        <v>512</v>
      </c>
      <c r="F1228" t="b">
        <v>1</v>
      </c>
      <c r="G1228" t="str">
        <f>HYPERLINK("https://www.google.com/maps/search/?api=1&amp;query=24.74515969,46.75285959", "View Map")</f>
        <v>View Map</v>
      </c>
    </row>
    <row r="1229" spans="1:7" x14ac:dyDescent="0.3">
      <c r="A1229" t="s">
        <v>2054</v>
      </c>
      <c r="B1229" t="s">
        <v>2055</v>
      </c>
      <c r="C1229" t="s">
        <v>9</v>
      </c>
      <c r="D1229" t="s">
        <v>154</v>
      </c>
      <c r="E1229">
        <v>512</v>
      </c>
      <c r="F1229" t="b">
        <v>1</v>
      </c>
      <c r="G1229" t="str">
        <f>HYPERLINK("https://www.google.com/maps/search/?api=1&amp;query=24.7942456,46.89612415", "View Map")</f>
        <v>View Map</v>
      </c>
    </row>
    <row r="1230" spans="1:7" x14ac:dyDescent="0.3">
      <c r="A1230" t="s">
        <v>2056</v>
      </c>
      <c r="B1230" t="s">
        <v>2057</v>
      </c>
      <c r="C1230" t="s">
        <v>9</v>
      </c>
      <c r="D1230" t="s">
        <v>154</v>
      </c>
      <c r="E1230">
        <v>512</v>
      </c>
      <c r="F1230" t="b">
        <v>1</v>
      </c>
      <c r="G1230" t="str">
        <f>HYPERLINK("https://www.google.com/maps/search/?api=1&amp;query=24.56846012,46.76360115", "View Map")</f>
        <v>View Map</v>
      </c>
    </row>
    <row r="1231" spans="1:7" x14ac:dyDescent="0.3">
      <c r="A1231" t="s">
        <v>2058</v>
      </c>
      <c r="B1231" t="s">
        <v>2059</v>
      </c>
      <c r="C1231" t="s">
        <v>9</v>
      </c>
      <c r="D1231" t="s">
        <v>154</v>
      </c>
      <c r="E1231">
        <v>512</v>
      </c>
      <c r="F1231" t="b">
        <v>1</v>
      </c>
      <c r="G1231" t="str">
        <f>HYPERLINK("https://www.google.com/maps/search/?api=1&amp;query=24.68988938,46.8142836", "View Map")</f>
        <v>View Map</v>
      </c>
    </row>
    <row r="1232" spans="1:7" x14ac:dyDescent="0.3">
      <c r="A1232" t="s">
        <v>2060</v>
      </c>
      <c r="B1232" t="s">
        <v>2061</v>
      </c>
      <c r="C1232" t="s">
        <v>9</v>
      </c>
      <c r="D1232" t="s">
        <v>154</v>
      </c>
      <c r="E1232">
        <v>512</v>
      </c>
      <c r="F1232" t="b">
        <v>1</v>
      </c>
      <c r="G1232" t="str">
        <f>HYPERLINK("https://www.google.com/maps/search/?api=1&amp;query=24.57269015,46.54711981", "View Map")</f>
        <v>View Map</v>
      </c>
    </row>
    <row r="1233" spans="1:7" x14ac:dyDescent="0.3">
      <c r="A1233" t="s">
        <v>2062</v>
      </c>
      <c r="B1233" t="s">
        <v>2063</v>
      </c>
      <c r="C1233" t="s">
        <v>9</v>
      </c>
      <c r="D1233" t="s">
        <v>154</v>
      </c>
      <c r="E1233">
        <v>512</v>
      </c>
      <c r="F1233" t="b">
        <v>1</v>
      </c>
      <c r="G1233" t="str">
        <f>HYPERLINK("https://www.google.com/maps/search/?api=1&amp;query=24.64885868,46.80072088", "View Map")</f>
        <v>View Map</v>
      </c>
    </row>
    <row r="1234" spans="1:7" x14ac:dyDescent="0.3">
      <c r="A1234" t="s">
        <v>2064</v>
      </c>
      <c r="B1234" t="s">
        <v>2065</v>
      </c>
      <c r="C1234" t="s">
        <v>9</v>
      </c>
      <c r="D1234" t="s">
        <v>154</v>
      </c>
      <c r="E1234">
        <v>512</v>
      </c>
      <c r="F1234" t="b">
        <v>1</v>
      </c>
      <c r="G1234" t="str">
        <f>HYPERLINK("https://www.google.com/maps/search/?api=1&amp;query=24.55956174,46.76150347", "View Map")</f>
        <v>View Map</v>
      </c>
    </row>
    <row r="1235" spans="1:7" x14ac:dyDescent="0.3">
      <c r="A1235" t="s">
        <v>27</v>
      </c>
      <c r="B1235" t="s">
        <v>2066</v>
      </c>
      <c r="C1235" t="s">
        <v>9</v>
      </c>
      <c r="D1235" t="s">
        <v>154</v>
      </c>
      <c r="E1235">
        <v>512</v>
      </c>
      <c r="F1235" t="b">
        <v>1</v>
      </c>
      <c r="G1235" t="str">
        <f>HYPERLINK("https://www.google.com/maps/search/?api=1&amp;query=24.82820974,46.58653605", "View Map")</f>
        <v>View Map</v>
      </c>
    </row>
    <row r="1236" spans="1:7" x14ac:dyDescent="0.3">
      <c r="A1236" t="s">
        <v>2067</v>
      </c>
      <c r="B1236" t="s">
        <v>2068</v>
      </c>
      <c r="C1236" t="s">
        <v>9</v>
      </c>
      <c r="D1236" t="s">
        <v>154</v>
      </c>
      <c r="E1236">
        <v>512</v>
      </c>
      <c r="F1236" t="b">
        <v>1</v>
      </c>
      <c r="G1236" t="str">
        <f>HYPERLINK("https://www.google.com/maps/search/?api=1&amp;query=24.70920666,46.66952135", "View Map")</f>
        <v>View Map</v>
      </c>
    </row>
    <row r="1237" spans="1:7" x14ac:dyDescent="0.3">
      <c r="A1237" t="s">
        <v>2069</v>
      </c>
      <c r="B1237" t="s">
        <v>2070</v>
      </c>
      <c r="C1237" t="s">
        <v>9</v>
      </c>
      <c r="D1237" t="s">
        <v>154</v>
      </c>
      <c r="E1237">
        <v>512</v>
      </c>
      <c r="F1237" t="b">
        <v>0</v>
      </c>
      <c r="G1237" t="str">
        <f>HYPERLINK("https://www.google.com/maps/search/?api=1&amp;query=24.61375631,46.64371112", "View Map")</f>
        <v>View Map</v>
      </c>
    </row>
    <row r="1238" spans="1:7" x14ac:dyDescent="0.3">
      <c r="A1238" t="s">
        <v>27</v>
      </c>
      <c r="B1238" t="s">
        <v>2071</v>
      </c>
      <c r="C1238" t="s">
        <v>9</v>
      </c>
      <c r="D1238" t="s">
        <v>154</v>
      </c>
      <c r="E1238">
        <v>511</v>
      </c>
      <c r="F1238" t="b">
        <v>0</v>
      </c>
      <c r="G1238" t="str">
        <f>HYPERLINK("https://www.google.com/maps/search/?api=1&amp;query=24.80508487,46.67411866", "View Map")</f>
        <v>View Map</v>
      </c>
    </row>
    <row r="1239" spans="1:7" x14ac:dyDescent="0.3">
      <c r="A1239" t="s">
        <v>159</v>
      </c>
      <c r="B1239" t="s">
        <v>2072</v>
      </c>
      <c r="C1239" t="s">
        <v>9</v>
      </c>
      <c r="D1239" t="s">
        <v>154</v>
      </c>
      <c r="E1239">
        <v>510</v>
      </c>
      <c r="F1239" t="b">
        <v>1</v>
      </c>
      <c r="G1239" t="str">
        <f>HYPERLINK("https://www.google.com/maps/search/?api=1&amp;query=24.57499557,46.57905643", "View Map")</f>
        <v>View Map</v>
      </c>
    </row>
    <row r="1240" spans="1:7" x14ac:dyDescent="0.3">
      <c r="A1240" t="s">
        <v>27</v>
      </c>
      <c r="B1240" t="s">
        <v>2073</v>
      </c>
      <c r="C1240" t="s">
        <v>9</v>
      </c>
      <c r="D1240" t="s">
        <v>154</v>
      </c>
      <c r="E1240">
        <v>510</v>
      </c>
      <c r="F1240" t="b">
        <v>1</v>
      </c>
      <c r="G1240" t="str">
        <f>HYPERLINK("https://www.google.com/maps/search/?api=1&amp;query=24.92525789,46.82341566", "View Map")</f>
        <v>View Map</v>
      </c>
    </row>
    <row r="1241" spans="1:7" x14ac:dyDescent="0.3">
      <c r="A1241" t="s">
        <v>2074</v>
      </c>
      <c r="B1241" t="s">
        <v>2075</v>
      </c>
      <c r="C1241" t="s">
        <v>9</v>
      </c>
      <c r="D1241" t="s">
        <v>154</v>
      </c>
      <c r="E1241">
        <v>510</v>
      </c>
      <c r="F1241" t="b">
        <v>1</v>
      </c>
      <c r="G1241" t="str">
        <f>HYPERLINK("https://www.google.com/maps/search/?api=1&amp;query=24.69470816,46.68759636", "View Map")</f>
        <v>View Map</v>
      </c>
    </row>
    <row r="1242" spans="1:7" x14ac:dyDescent="0.3">
      <c r="A1242" t="s">
        <v>2076</v>
      </c>
      <c r="B1242" t="s">
        <v>2077</v>
      </c>
      <c r="C1242" t="s">
        <v>9</v>
      </c>
      <c r="D1242" t="s">
        <v>154</v>
      </c>
      <c r="E1242">
        <v>510</v>
      </c>
      <c r="F1242" t="b">
        <v>1</v>
      </c>
      <c r="G1242" t="str">
        <f>HYPERLINK("https://www.google.com/maps/search/?api=1&amp;query=24.63013063,46.69867179", "View Map")</f>
        <v>View Map</v>
      </c>
    </row>
    <row r="1243" spans="1:7" x14ac:dyDescent="0.3">
      <c r="A1243" t="s">
        <v>2078</v>
      </c>
      <c r="B1243" t="s">
        <v>2079</v>
      </c>
      <c r="C1243" t="s">
        <v>9</v>
      </c>
      <c r="D1243" t="s">
        <v>154</v>
      </c>
      <c r="E1243">
        <v>510</v>
      </c>
      <c r="F1243" t="b">
        <v>1</v>
      </c>
      <c r="G1243" t="str">
        <f>HYPERLINK("https://www.google.com/maps/search/?api=1&amp;query=24.79321913,46.62678256", "View Map")</f>
        <v>View Map</v>
      </c>
    </row>
    <row r="1244" spans="1:7" x14ac:dyDescent="0.3">
      <c r="A1244" t="s">
        <v>2080</v>
      </c>
      <c r="B1244" t="s">
        <v>2081</v>
      </c>
      <c r="C1244" t="s">
        <v>9</v>
      </c>
      <c r="D1244" t="s">
        <v>154</v>
      </c>
      <c r="E1244">
        <v>509</v>
      </c>
      <c r="F1244" t="b">
        <v>1</v>
      </c>
      <c r="G1244" t="str">
        <f>HYPERLINK("https://www.google.com/maps/search/?api=1&amp;query=24.69234504,46.80164413", "View Map")</f>
        <v>View Map</v>
      </c>
    </row>
    <row r="1245" spans="1:7" x14ac:dyDescent="0.3">
      <c r="A1245" t="s">
        <v>2082</v>
      </c>
      <c r="B1245" t="s">
        <v>2083</v>
      </c>
      <c r="C1245" t="s">
        <v>9</v>
      </c>
      <c r="D1245" t="s">
        <v>154</v>
      </c>
      <c r="E1245">
        <v>509</v>
      </c>
      <c r="F1245" t="b">
        <v>1</v>
      </c>
      <c r="G1245" t="str">
        <f>HYPERLINK("https://www.google.com/maps/search/?api=1&amp;query=24.7014662,46.64439781", "View Map")</f>
        <v>View Map</v>
      </c>
    </row>
    <row r="1246" spans="1:7" x14ac:dyDescent="0.3">
      <c r="A1246" t="s">
        <v>2084</v>
      </c>
      <c r="B1246" t="s">
        <v>2085</v>
      </c>
      <c r="C1246" t="s">
        <v>9</v>
      </c>
      <c r="D1246" t="s">
        <v>154</v>
      </c>
      <c r="E1246">
        <v>509</v>
      </c>
      <c r="F1246" t="b">
        <v>1</v>
      </c>
      <c r="G1246" t="str">
        <f>HYPERLINK("https://www.google.com/maps/search/?api=1&amp;query=24.48644743,46.61966642", "View Map")</f>
        <v>View Map</v>
      </c>
    </row>
    <row r="1247" spans="1:7" x14ac:dyDescent="0.3">
      <c r="A1247" t="s">
        <v>2086</v>
      </c>
      <c r="B1247" t="s">
        <v>2087</v>
      </c>
      <c r="C1247" t="s">
        <v>9</v>
      </c>
      <c r="D1247" t="s">
        <v>154</v>
      </c>
      <c r="E1247">
        <v>509</v>
      </c>
      <c r="F1247" t="b">
        <v>1</v>
      </c>
      <c r="G1247" t="str">
        <f>HYPERLINK("https://www.google.com/maps/search/?api=1&amp;query=24.76800114,46.65045529", "View Map")</f>
        <v>View Map</v>
      </c>
    </row>
    <row r="1248" spans="1:7" x14ac:dyDescent="0.3">
      <c r="A1248" t="s">
        <v>194</v>
      </c>
      <c r="B1248" t="s">
        <v>2088</v>
      </c>
      <c r="C1248" t="s">
        <v>9</v>
      </c>
      <c r="D1248" t="s">
        <v>154</v>
      </c>
      <c r="E1248">
        <v>509</v>
      </c>
      <c r="F1248" t="b">
        <v>1</v>
      </c>
      <c r="G1248" t="str">
        <f>HYPERLINK("https://www.google.com/maps/search/?api=1&amp;query=24.82020088,46.81169296", "View Map")</f>
        <v>View Map</v>
      </c>
    </row>
    <row r="1249" spans="1:7" x14ac:dyDescent="0.3">
      <c r="A1249" t="s">
        <v>2089</v>
      </c>
      <c r="B1249" t="s">
        <v>2090</v>
      </c>
      <c r="C1249" t="s">
        <v>9</v>
      </c>
      <c r="D1249" t="s">
        <v>154</v>
      </c>
      <c r="E1249">
        <v>508</v>
      </c>
      <c r="F1249" t="b">
        <v>0</v>
      </c>
      <c r="G1249" t="str">
        <f>HYPERLINK("https://www.google.com/maps/search/?api=1&amp;query=24.80001592,46.87372492", "View Map")</f>
        <v>View Map</v>
      </c>
    </row>
    <row r="1250" spans="1:7" x14ac:dyDescent="0.3">
      <c r="A1250" t="s">
        <v>2091</v>
      </c>
      <c r="B1250" t="s">
        <v>2092</v>
      </c>
      <c r="C1250" t="s">
        <v>9</v>
      </c>
      <c r="D1250" t="s">
        <v>154</v>
      </c>
      <c r="E1250">
        <v>508</v>
      </c>
      <c r="F1250" t="b">
        <v>1</v>
      </c>
      <c r="G1250" t="str">
        <f>HYPERLINK("https://www.google.com/maps/search/?api=1&amp;query=24.74049902,46.68972122", "View Map")</f>
        <v>View Map</v>
      </c>
    </row>
    <row r="1251" spans="1:7" x14ac:dyDescent="0.3">
      <c r="A1251" t="s">
        <v>194</v>
      </c>
      <c r="B1251" t="s">
        <v>2093</v>
      </c>
      <c r="C1251" t="s">
        <v>9</v>
      </c>
      <c r="D1251" t="s">
        <v>154</v>
      </c>
      <c r="E1251">
        <v>507</v>
      </c>
      <c r="F1251" t="b">
        <v>1</v>
      </c>
      <c r="G1251" t="str">
        <f>HYPERLINK("https://www.google.com/maps/search/?api=1&amp;query=24.8132771,46.73512109", "View Map")</f>
        <v>View Map</v>
      </c>
    </row>
    <row r="1252" spans="1:7" x14ac:dyDescent="0.3">
      <c r="A1252" t="s">
        <v>2094</v>
      </c>
      <c r="B1252" t="s">
        <v>2095</v>
      </c>
      <c r="C1252" t="s">
        <v>9</v>
      </c>
      <c r="D1252" t="s">
        <v>154</v>
      </c>
      <c r="E1252">
        <v>506</v>
      </c>
      <c r="F1252" t="b">
        <v>1</v>
      </c>
      <c r="G1252" t="str">
        <f>HYPERLINK("https://www.google.com/maps/search/?api=1&amp;query=24.54986692,46.69962082", "View Map")</f>
        <v>View Map</v>
      </c>
    </row>
    <row r="1253" spans="1:7" x14ac:dyDescent="0.3">
      <c r="A1253" t="s">
        <v>2096</v>
      </c>
      <c r="B1253" t="s">
        <v>2097</v>
      </c>
      <c r="C1253" t="s">
        <v>9</v>
      </c>
      <c r="D1253" t="s">
        <v>154</v>
      </c>
      <c r="E1253">
        <v>506</v>
      </c>
      <c r="F1253" t="b">
        <v>1</v>
      </c>
      <c r="G1253" t="str">
        <f>HYPERLINK("https://www.google.com/maps/search/?api=1&amp;query=24.68756,46.64633", "View Map")</f>
        <v>View Map</v>
      </c>
    </row>
    <row r="1254" spans="1:7" x14ac:dyDescent="0.3">
      <c r="A1254" t="s">
        <v>2098</v>
      </c>
      <c r="B1254" t="s">
        <v>2099</v>
      </c>
      <c r="C1254" t="s">
        <v>9</v>
      </c>
      <c r="D1254" t="s">
        <v>154</v>
      </c>
      <c r="E1254">
        <v>506</v>
      </c>
      <c r="F1254" t="b">
        <v>1</v>
      </c>
      <c r="G1254" t="str">
        <f>HYPERLINK("https://www.google.com/maps/search/?api=1&amp;query=24.73153205,46.64280987", "View Map")</f>
        <v>View Map</v>
      </c>
    </row>
    <row r="1255" spans="1:7" x14ac:dyDescent="0.3">
      <c r="A1255" t="s">
        <v>159</v>
      </c>
      <c r="B1255" t="s">
        <v>2100</v>
      </c>
      <c r="C1255" t="s">
        <v>9</v>
      </c>
      <c r="D1255" t="s">
        <v>154</v>
      </c>
      <c r="E1255">
        <v>506</v>
      </c>
      <c r="F1255" t="b">
        <v>0</v>
      </c>
      <c r="G1255" t="str">
        <f>HYPERLINK("https://www.google.com/maps/search/?api=1&amp;query=24.55212048,46.51575089", "View Map")</f>
        <v>View Map</v>
      </c>
    </row>
    <row r="1256" spans="1:7" x14ac:dyDescent="0.3">
      <c r="A1256" t="s">
        <v>2101</v>
      </c>
      <c r="B1256" t="s">
        <v>2102</v>
      </c>
      <c r="C1256" t="s">
        <v>9</v>
      </c>
      <c r="D1256" t="s">
        <v>154</v>
      </c>
      <c r="E1256">
        <v>506</v>
      </c>
      <c r="F1256" t="b">
        <v>1</v>
      </c>
      <c r="G1256" t="str">
        <f>HYPERLINK("https://www.google.com/maps/search/?api=1&amp;query=24.80123547,46.79103692", "View Map")</f>
        <v>View Map</v>
      </c>
    </row>
    <row r="1257" spans="1:7" x14ac:dyDescent="0.3">
      <c r="A1257" t="s">
        <v>2103</v>
      </c>
      <c r="B1257" t="s">
        <v>2104</v>
      </c>
      <c r="C1257" t="s">
        <v>9</v>
      </c>
      <c r="D1257" t="s">
        <v>154</v>
      </c>
      <c r="E1257">
        <v>505</v>
      </c>
      <c r="F1257" t="b">
        <v>1</v>
      </c>
      <c r="G1257" t="str">
        <f>HYPERLINK("https://www.google.com/maps/search/?api=1&amp;query=24.75253842,46.77390533", "View Map")</f>
        <v>View Map</v>
      </c>
    </row>
    <row r="1258" spans="1:7" x14ac:dyDescent="0.3">
      <c r="A1258" t="s">
        <v>2105</v>
      </c>
      <c r="B1258" t="s">
        <v>2106</v>
      </c>
      <c r="C1258" t="s">
        <v>9</v>
      </c>
      <c r="D1258" t="s">
        <v>154</v>
      </c>
      <c r="E1258">
        <v>505</v>
      </c>
      <c r="F1258" t="b">
        <v>1</v>
      </c>
      <c r="G1258" t="str">
        <f>HYPERLINK("https://www.google.com/maps/search/?api=1&amp;query=24.81102581,46.64342992", "View Map")</f>
        <v>View Map</v>
      </c>
    </row>
    <row r="1259" spans="1:7" x14ac:dyDescent="0.3">
      <c r="A1259" t="s">
        <v>2107</v>
      </c>
      <c r="B1259" t="s">
        <v>2108</v>
      </c>
      <c r="C1259" t="s">
        <v>9</v>
      </c>
      <c r="D1259" t="s">
        <v>154</v>
      </c>
      <c r="E1259">
        <v>505</v>
      </c>
      <c r="F1259" t="b">
        <v>1</v>
      </c>
      <c r="G1259" t="str">
        <f>HYPERLINK("https://www.google.com/maps/search/?api=1&amp;query=24.56388862,46.71046769", "View Map")</f>
        <v>View Map</v>
      </c>
    </row>
    <row r="1260" spans="1:7" x14ac:dyDescent="0.3">
      <c r="A1260" t="s">
        <v>2109</v>
      </c>
      <c r="B1260" t="s">
        <v>2110</v>
      </c>
      <c r="C1260" t="s">
        <v>9</v>
      </c>
      <c r="D1260" t="s">
        <v>154</v>
      </c>
      <c r="E1260">
        <v>505</v>
      </c>
      <c r="F1260" t="b">
        <v>1</v>
      </c>
      <c r="G1260" t="str">
        <f>HYPERLINK("https://www.google.com/maps/search/?api=1&amp;query=24.57494514,46.7129081", "View Map")</f>
        <v>View Map</v>
      </c>
    </row>
    <row r="1261" spans="1:7" x14ac:dyDescent="0.3">
      <c r="A1261" t="s">
        <v>2111</v>
      </c>
      <c r="B1261" t="s">
        <v>2112</v>
      </c>
      <c r="C1261" t="s">
        <v>9</v>
      </c>
      <c r="D1261" t="s">
        <v>154</v>
      </c>
      <c r="E1261">
        <v>505</v>
      </c>
      <c r="F1261" t="b">
        <v>1</v>
      </c>
      <c r="G1261" t="str">
        <f>HYPERLINK("https://www.google.com/maps/search/?api=1&amp;query=24.55442151,46.7069751", "View Map")</f>
        <v>View Map</v>
      </c>
    </row>
    <row r="1262" spans="1:7" x14ac:dyDescent="0.3">
      <c r="A1262" t="s">
        <v>194</v>
      </c>
      <c r="B1262" t="s">
        <v>2113</v>
      </c>
      <c r="C1262" t="s">
        <v>9</v>
      </c>
      <c r="D1262" t="s">
        <v>154</v>
      </c>
      <c r="E1262">
        <v>504</v>
      </c>
      <c r="F1262" t="b">
        <v>1</v>
      </c>
      <c r="G1262" t="str">
        <f>HYPERLINK("https://www.google.com/maps/search/?api=1&amp;query=24.83418982,46.74371809", "View Map")</f>
        <v>View Map</v>
      </c>
    </row>
    <row r="1263" spans="1:7" x14ac:dyDescent="0.3">
      <c r="A1263" t="s">
        <v>2114</v>
      </c>
      <c r="B1263" t="s">
        <v>2115</v>
      </c>
      <c r="C1263" t="s">
        <v>9</v>
      </c>
      <c r="D1263" t="s">
        <v>154</v>
      </c>
      <c r="E1263">
        <v>504</v>
      </c>
      <c r="F1263" t="b">
        <v>1</v>
      </c>
      <c r="G1263" t="str">
        <f>HYPERLINK("https://www.google.com/maps/search/?api=1&amp;query=24.71854783,46.81383625", "View Map")</f>
        <v>View Map</v>
      </c>
    </row>
    <row r="1264" spans="1:7" x14ac:dyDescent="0.3">
      <c r="A1264" t="s">
        <v>2116</v>
      </c>
      <c r="B1264" t="s">
        <v>2117</v>
      </c>
      <c r="C1264" t="s">
        <v>9</v>
      </c>
      <c r="D1264" t="s">
        <v>154</v>
      </c>
      <c r="E1264">
        <v>504</v>
      </c>
      <c r="F1264" t="b">
        <v>1</v>
      </c>
      <c r="G1264" t="str">
        <f>HYPERLINK("https://www.google.com/maps/search/?api=1&amp;query=24.73843638,46.79563318", "View Map")</f>
        <v>View Map</v>
      </c>
    </row>
    <row r="1265" spans="1:7" x14ac:dyDescent="0.3">
      <c r="A1265" t="s">
        <v>27</v>
      </c>
      <c r="B1265" t="s">
        <v>2118</v>
      </c>
      <c r="C1265" t="s">
        <v>72</v>
      </c>
      <c r="D1265" t="s">
        <v>154</v>
      </c>
      <c r="E1265">
        <v>504</v>
      </c>
      <c r="F1265" t="b">
        <v>1</v>
      </c>
      <c r="G1265" t="str">
        <f>HYPERLINK("https://www.google.com/maps/search/?api=1&amp;query=24.83085588,46.57274894", "View Map")</f>
        <v>View Map</v>
      </c>
    </row>
    <row r="1266" spans="1:7" x14ac:dyDescent="0.3">
      <c r="A1266" t="s">
        <v>27</v>
      </c>
      <c r="B1266" t="s">
        <v>2119</v>
      </c>
      <c r="C1266" t="s">
        <v>9</v>
      </c>
      <c r="D1266" t="s">
        <v>154</v>
      </c>
      <c r="E1266">
        <v>504</v>
      </c>
      <c r="F1266" t="b">
        <v>1</v>
      </c>
      <c r="G1266" t="str">
        <f>HYPERLINK("https://www.google.com/maps/search/?api=1&amp;query=24.89074023,46.60977969", "View Map")</f>
        <v>View Map</v>
      </c>
    </row>
    <row r="1267" spans="1:7" x14ac:dyDescent="0.3">
      <c r="A1267" t="s">
        <v>1553</v>
      </c>
      <c r="B1267" t="s">
        <v>2120</v>
      </c>
      <c r="C1267" t="s">
        <v>9</v>
      </c>
      <c r="D1267" t="s">
        <v>154</v>
      </c>
      <c r="E1267">
        <v>503</v>
      </c>
      <c r="F1267" t="b">
        <v>1</v>
      </c>
      <c r="G1267" t="str">
        <f>HYPERLINK("https://www.google.com/maps/search/?api=1&amp;query=24.77802,46.81731", "View Map")</f>
        <v>View Map</v>
      </c>
    </row>
    <row r="1268" spans="1:7" x14ac:dyDescent="0.3">
      <c r="A1268" t="s">
        <v>27</v>
      </c>
      <c r="B1268" t="s">
        <v>2121</v>
      </c>
      <c r="C1268" t="s">
        <v>72</v>
      </c>
      <c r="D1268" t="s">
        <v>154</v>
      </c>
      <c r="E1268">
        <v>503</v>
      </c>
      <c r="F1268" t="b">
        <v>1</v>
      </c>
      <c r="G1268" t="str">
        <f>HYPERLINK("https://www.google.com/maps/search/?api=1&amp;query=24.775971,46.56946824", "View Map")</f>
        <v>View Map</v>
      </c>
    </row>
    <row r="1269" spans="1:7" x14ac:dyDescent="0.3">
      <c r="A1269" t="s">
        <v>27</v>
      </c>
      <c r="B1269" t="s">
        <v>2122</v>
      </c>
      <c r="C1269" t="s">
        <v>9</v>
      </c>
      <c r="D1269" t="s">
        <v>154</v>
      </c>
      <c r="E1269">
        <v>503</v>
      </c>
      <c r="F1269" t="b">
        <v>1</v>
      </c>
      <c r="G1269" t="str">
        <f>HYPERLINK("https://www.google.com/maps/search/?api=1&amp;query=24.92570141,46.81880472", "View Map")</f>
        <v>View Map</v>
      </c>
    </row>
    <row r="1270" spans="1:7" x14ac:dyDescent="0.3">
      <c r="A1270" t="s">
        <v>2123</v>
      </c>
      <c r="B1270" t="s">
        <v>2124</v>
      </c>
      <c r="C1270" t="s">
        <v>9</v>
      </c>
      <c r="D1270" t="s">
        <v>154</v>
      </c>
      <c r="E1270">
        <v>502</v>
      </c>
      <c r="F1270" t="b">
        <v>1</v>
      </c>
      <c r="G1270" t="str">
        <f>HYPERLINK("https://www.google.com/maps/search/?api=1&amp;query=24.53692088,46.66324574", "View Map")</f>
        <v>View Map</v>
      </c>
    </row>
    <row r="1271" spans="1:7" x14ac:dyDescent="0.3">
      <c r="A1271" t="s">
        <v>2125</v>
      </c>
      <c r="B1271" t="s">
        <v>2126</v>
      </c>
      <c r="C1271" t="s">
        <v>9</v>
      </c>
      <c r="D1271" t="s">
        <v>154</v>
      </c>
      <c r="E1271">
        <v>502</v>
      </c>
      <c r="F1271" t="b">
        <v>1</v>
      </c>
      <c r="G1271" t="str">
        <f>HYPERLINK("https://www.google.com/maps/search/?api=1&amp;query=24.63692912,46.62290432", "View Map")</f>
        <v>View Map</v>
      </c>
    </row>
    <row r="1272" spans="1:7" x14ac:dyDescent="0.3">
      <c r="A1272" t="s">
        <v>2127</v>
      </c>
      <c r="B1272" t="s">
        <v>2128</v>
      </c>
      <c r="C1272" t="s">
        <v>9</v>
      </c>
      <c r="D1272" t="s">
        <v>154</v>
      </c>
      <c r="E1272">
        <v>502</v>
      </c>
      <c r="F1272" t="b">
        <v>1</v>
      </c>
      <c r="G1272" t="str">
        <f>HYPERLINK("https://www.google.com/maps/search/?api=1&amp;query=24.5919537,46.7471375", "View Map")</f>
        <v>View Map</v>
      </c>
    </row>
    <row r="1273" spans="1:7" x14ac:dyDescent="0.3">
      <c r="A1273" t="s">
        <v>2129</v>
      </c>
      <c r="B1273" t="s">
        <v>2130</v>
      </c>
      <c r="C1273" t="s">
        <v>9</v>
      </c>
      <c r="D1273" t="s">
        <v>154</v>
      </c>
      <c r="E1273">
        <v>502</v>
      </c>
      <c r="F1273" t="b">
        <v>1</v>
      </c>
      <c r="G1273" t="str">
        <f>HYPERLINK("https://www.google.com/maps/search/?api=1&amp;query=24.69129537,46.6507574", "View Map")</f>
        <v>View Map</v>
      </c>
    </row>
    <row r="1274" spans="1:7" x14ac:dyDescent="0.3">
      <c r="A1274" t="s">
        <v>2131</v>
      </c>
      <c r="B1274" t="s">
        <v>2132</v>
      </c>
      <c r="C1274" t="s">
        <v>9</v>
      </c>
      <c r="D1274" t="s">
        <v>154</v>
      </c>
      <c r="E1274">
        <v>502</v>
      </c>
      <c r="F1274" t="b">
        <v>1</v>
      </c>
      <c r="G1274" t="str">
        <f>HYPERLINK("https://www.google.com/maps/search/?api=1&amp;query=24.5630388,46.69254617", "View Map")</f>
        <v>View Map</v>
      </c>
    </row>
    <row r="1275" spans="1:7" x14ac:dyDescent="0.3">
      <c r="A1275" t="s">
        <v>2133</v>
      </c>
      <c r="B1275" t="s">
        <v>2134</v>
      </c>
      <c r="C1275" t="s">
        <v>9</v>
      </c>
      <c r="D1275" t="s">
        <v>154</v>
      </c>
      <c r="E1275">
        <v>501</v>
      </c>
      <c r="F1275" t="b">
        <v>1</v>
      </c>
      <c r="G1275" t="str">
        <f>HYPERLINK("https://www.google.com/maps/search/?api=1&amp;query=24.5900787,46.60434661", "View Map")</f>
        <v>View Map</v>
      </c>
    </row>
    <row r="1276" spans="1:7" x14ac:dyDescent="0.3">
      <c r="A1276" t="s">
        <v>1553</v>
      </c>
      <c r="B1276" t="s">
        <v>2135</v>
      </c>
      <c r="C1276" t="s">
        <v>9</v>
      </c>
      <c r="D1276" t="s">
        <v>154</v>
      </c>
      <c r="E1276">
        <v>501</v>
      </c>
      <c r="F1276" t="b">
        <v>1</v>
      </c>
      <c r="G1276" t="str">
        <f>HYPERLINK("https://www.google.com/maps/search/?api=1&amp;query=24.67557452,46.73825129", "View Map")</f>
        <v>View Map</v>
      </c>
    </row>
    <row r="1277" spans="1:7" x14ac:dyDescent="0.3">
      <c r="A1277" t="s">
        <v>2136</v>
      </c>
      <c r="B1277" t="s">
        <v>2137</v>
      </c>
      <c r="C1277" t="s">
        <v>9</v>
      </c>
      <c r="D1277" t="s">
        <v>154</v>
      </c>
      <c r="E1277">
        <v>501</v>
      </c>
      <c r="F1277" t="b">
        <v>1</v>
      </c>
      <c r="G1277" t="str">
        <f>HYPERLINK("https://www.google.com/maps/search/?api=1&amp;query=24.68146447,46.72423429", "View Map")</f>
        <v>View Map</v>
      </c>
    </row>
    <row r="1278" spans="1:7" x14ac:dyDescent="0.3">
      <c r="A1278" t="s">
        <v>27</v>
      </c>
      <c r="B1278" t="s">
        <v>2138</v>
      </c>
      <c r="C1278" t="s">
        <v>9</v>
      </c>
      <c r="D1278" t="s">
        <v>154</v>
      </c>
      <c r="E1278">
        <v>501</v>
      </c>
      <c r="F1278" t="b">
        <v>1</v>
      </c>
      <c r="G1278" t="str">
        <f>HYPERLINK("https://www.google.com/maps/search/?api=1&amp;query=24.83465468,46.66039893", "View Map")</f>
        <v>View Map</v>
      </c>
    </row>
    <row r="1279" spans="1:7" x14ac:dyDescent="0.3">
      <c r="A1279" t="s">
        <v>2139</v>
      </c>
      <c r="B1279" t="s">
        <v>2140</v>
      </c>
      <c r="C1279" t="s">
        <v>9</v>
      </c>
      <c r="D1279" t="s">
        <v>154</v>
      </c>
      <c r="E1279">
        <v>500</v>
      </c>
      <c r="F1279" t="b">
        <v>1</v>
      </c>
      <c r="G1279" t="str">
        <f>HYPERLINK("https://www.google.com/maps/search/?api=1&amp;query=24.64226278,46.54672361", "View Map")</f>
        <v>View Map</v>
      </c>
    </row>
    <row r="1280" spans="1:7" x14ac:dyDescent="0.3">
      <c r="A1280" t="s">
        <v>2141</v>
      </c>
      <c r="B1280" t="s">
        <v>2142</v>
      </c>
      <c r="C1280" t="s">
        <v>9</v>
      </c>
      <c r="D1280" t="s">
        <v>154</v>
      </c>
      <c r="E1280">
        <v>499</v>
      </c>
      <c r="F1280" t="b">
        <v>1</v>
      </c>
      <c r="G1280" t="str">
        <f>HYPERLINK("https://www.google.com/maps/search/?api=1&amp;query=24.63527663,46.61824809", "View Map")</f>
        <v>View Map</v>
      </c>
    </row>
    <row r="1281" spans="1:7" x14ac:dyDescent="0.3">
      <c r="A1281" t="s">
        <v>27</v>
      </c>
      <c r="B1281" t="s">
        <v>2143</v>
      </c>
      <c r="C1281" t="s">
        <v>72</v>
      </c>
      <c r="D1281" t="s">
        <v>154</v>
      </c>
      <c r="E1281">
        <v>499</v>
      </c>
      <c r="F1281" t="b">
        <v>1</v>
      </c>
      <c r="G1281" t="str">
        <f>HYPERLINK("https://www.google.com/maps/search/?api=1&amp;query=24.83083847,46.5580538", "View Map")</f>
        <v>View Map</v>
      </c>
    </row>
    <row r="1282" spans="1:7" x14ac:dyDescent="0.3">
      <c r="A1282" t="s">
        <v>2144</v>
      </c>
      <c r="B1282" t="s">
        <v>2145</v>
      </c>
      <c r="C1282" t="s">
        <v>9</v>
      </c>
      <c r="D1282" t="s">
        <v>154</v>
      </c>
      <c r="E1282">
        <v>498</v>
      </c>
      <c r="F1282" t="b">
        <v>1</v>
      </c>
      <c r="G1282" t="str">
        <f>HYPERLINK("https://www.google.com/maps/search/?api=1&amp;query=24.56874677,46.8361548", "View Map")</f>
        <v>View Map</v>
      </c>
    </row>
    <row r="1283" spans="1:7" x14ac:dyDescent="0.3">
      <c r="A1283" t="s">
        <v>2146</v>
      </c>
      <c r="B1283" t="s">
        <v>2147</v>
      </c>
      <c r="C1283" t="s">
        <v>9</v>
      </c>
      <c r="D1283" t="s">
        <v>154</v>
      </c>
      <c r="E1283">
        <v>498</v>
      </c>
      <c r="F1283" t="b">
        <v>1</v>
      </c>
      <c r="G1283" t="str">
        <f>HYPERLINK("https://www.google.com/maps/search/?api=1&amp;query=24.70409773,46.76719183", "View Map")</f>
        <v>View Map</v>
      </c>
    </row>
    <row r="1284" spans="1:7" x14ac:dyDescent="0.3">
      <c r="A1284" t="s">
        <v>2148</v>
      </c>
      <c r="B1284" t="s">
        <v>2149</v>
      </c>
      <c r="C1284" t="s">
        <v>9</v>
      </c>
      <c r="D1284" t="s">
        <v>154</v>
      </c>
      <c r="E1284">
        <v>498</v>
      </c>
      <c r="F1284" t="b">
        <v>1</v>
      </c>
      <c r="G1284" t="str">
        <f>HYPERLINK("https://www.google.com/maps/search/?api=1&amp;query=24.78423236,46.77885377", "View Map")</f>
        <v>View Map</v>
      </c>
    </row>
    <row r="1285" spans="1:7" x14ac:dyDescent="0.3">
      <c r="A1285" t="s">
        <v>27</v>
      </c>
      <c r="B1285" t="s">
        <v>2150</v>
      </c>
      <c r="C1285" t="s">
        <v>9</v>
      </c>
      <c r="D1285" t="s">
        <v>154</v>
      </c>
      <c r="E1285">
        <v>498</v>
      </c>
      <c r="F1285" t="b">
        <v>1</v>
      </c>
      <c r="G1285" t="str">
        <f>HYPERLINK("https://www.google.com/maps/search/?api=1&amp;query=24.83613636,46.60738876", "View Map")</f>
        <v>View Map</v>
      </c>
    </row>
    <row r="1286" spans="1:7" x14ac:dyDescent="0.3">
      <c r="A1286" t="s">
        <v>159</v>
      </c>
      <c r="B1286" t="s">
        <v>2151</v>
      </c>
      <c r="C1286" t="s">
        <v>9</v>
      </c>
      <c r="D1286" t="s">
        <v>154</v>
      </c>
      <c r="E1286">
        <v>497</v>
      </c>
      <c r="F1286" t="b">
        <v>0</v>
      </c>
      <c r="G1286" t="str">
        <f>HYPERLINK("https://www.google.com/maps/search/?api=1&amp;query=24.54279455,46.52099155", "View Map")</f>
        <v>View Map</v>
      </c>
    </row>
    <row r="1287" spans="1:7" x14ac:dyDescent="0.3">
      <c r="A1287" t="s">
        <v>27</v>
      </c>
      <c r="B1287" t="s">
        <v>2152</v>
      </c>
      <c r="C1287" t="s">
        <v>9</v>
      </c>
      <c r="D1287" t="s">
        <v>154</v>
      </c>
      <c r="E1287">
        <v>497</v>
      </c>
      <c r="F1287" t="b">
        <v>0</v>
      </c>
      <c r="G1287" t="str">
        <f>HYPERLINK("https://www.google.com/maps/search/?api=1&amp;query=24.8333,46.625", "View Map")</f>
        <v>View Map</v>
      </c>
    </row>
    <row r="1288" spans="1:7" x14ac:dyDescent="0.3">
      <c r="A1288" t="s">
        <v>2153</v>
      </c>
      <c r="B1288" t="s">
        <v>2154</v>
      </c>
      <c r="C1288" t="s">
        <v>9</v>
      </c>
      <c r="D1288" t="s">
        <v>154</v>
      </c>
      <c r="E1288">
        <v>497</v>
      </c>
      <c r="F1288" t="b">
        <v>0</v>
      </c>
      <c r="G1288" t="str">
        <f>HYPERLINK("https://www.google.com/maps/search/?api=1&amp;query=24.82319623,46.65050616", "View Map")</f>
        <v>View Map</v>
      </c>
    </row>
    <row r="1289" spans="1:7" x14ac:dyDescent="0.3">
      <c r="A1289" t="s">
        <v>2155</v>
      </c>
      <c r="B1289" t="s">
        <v>2156</v>
      </c>
      <c r="C1289" t="s">
        <v>9</v>
      </c>
      <c r="D1289" t="s">
        <v>154</v>
      </c>
      <c r="E1289">
        <v>496</v>
      </c>
      <c r="F1289" t="b">
        <v>1</v>
      </c>
      <c r="G1289" t="str">
        <f>HYPERLINK("https://www.google.com/maps/search/?api=1&amp;query=24.60888921,46.60308595", "View Map")</f>
        <v>View Map</v>
      </c>
    </row>
    <row r="1290" spans="1:7" x14ac:dyDescent="0.3">
      <c r="A1290" t="s">
        <v>159</v>
      </c>
      <c r="B1290" t="s">
        <v>2157</v>
      </c>
      <c r="C1290" t="s">
        <v>9</v>
      </c>
      <c r="D1290" t="s">
        <v>154</v>
      </c>
      <c r="E1290">
        <v>495</v>
      </c>
      <c r="F1290" t="b">
        <v>1</v>
      </c>
      <c r="G1290" t="str">
        <f>HYPERLINK("https://www.google.com/maps/search/?api=1&amp;query=24.56921016,46.52727413", "View Map")</f>
        <v>View Map</v>
      </c>
    </row>
    <row r="1291" spans="1:7" x14ac:dyDescent="0.3">
      <c r="A1291" t="s">
        <v>2158</v>
      </c>
      <c r="B1291" t="s">
        <v>2159</v>
      </c>
      <c r="C1291" t="s">
        <v>9</v>
      </c>
      <c r="D1291" t="s">
        <v>154</v>
      </c>
      <c r="E1291">
        <v>495</v>
      </c>
      <c r="F1291" t="b">
        <v>1</v>
      </c>
      <c r="G1291" t="str">
        <f>HYPERLINK("https://www.google.com/maps/search/?api=1&amp;query=24.77974236,46.79705114", "View Map")</f>
        <v>View Map</v>
      </c>
    </row>
    <row r="1292" spans="1:7" x14ac:dyDescent="0.3">
      <c r="A1292" t="s">
        <v>2160</v>
      </c>
      <c r="B1292" t="s">
        <v>2161</v>
      </c>
      <c r="C1292" t="s">
        <v>9</v>
      </c>
      <c r="D1292" t="s">
        <v>154</v>
      </c>
      <c r="E1292">
        <v>495</v>
      </c>
      <c r="F1292" t="b">
        <v>1</v>
      </c>
      <c r="G1292" t="str">
        <f>HYPERLINK("https://www.google.com/maps/search/?api=1&amp;query=24.74024189,46.81734478", "View Map")</f>
        <v>View Map</v>
      </c>
    </row>
    <row r="1293" spans="1:7" x14ac:dyDescent="0.3">
      <c r="A1293" t="s">
        <v>2162</v>
      </c>
      <c r="B1293" t="s">
        <v>2163</v>
      </c>
      <c r="C1293" t="s">
        <v>9</v>
      </c>
      <c r="D1293" t="s">
        <v>154</v>
      </c>
      <c r="E1293">
        <v>495</v>
      </c>
      <c r="F1293" t="b">
        <v>1</v>
      </c>
      <c r="G1293" t="str">
        <f>HYPERLINK("https://www.google.com/maps/search/?api=1&amp;query=24.54825086,46.66671335", "View Map")</f>
        <v>View Map</v>
      </c>
    </row>
    <row r="1294" spans="1:7" x14ac:dyDescent="0.3">
      <c r="A1294" t="s">
        <v>27</v>
      </c>
      <c r="B1294" t="s">
        <v>2164</v>
      </c>
      <c r="C1294" t="s">
        <v>9</v>
      </c>
      <c r="D1294" t="s">
        <v>154</v>
      </c>
      <c r="E1294">
        <v>494</v>
      </c>
      <c r="F1294" t="b">
        <v>1</v>
      </c>
      <c r="G1294" t="str">
        <f>HYPERLINK("https://www.google.com/maps/search/?api=1&amp;query=24.60634539,46.76231214", "View Map")</f>
        <v>View Map</v>
      </c>
    </row>
    <row r="1295" spans="1:7" x14ac:dyDescent="0.3">
      <c r="A1295" t="s">
        <v>2165</v>
      </c>
      <c r="B1295" t="s">
        <v>2166</v>
      </c>
      <c r="C1295" t="s">
        <v>9</v>
      </c>
      <c r="D1295" t="s">
        <v>154</v>
      </c>
      <c r="E1295">
        <v>494</v>
      </c>
      <c r="F1295" t="b">
        <v>1</v>
      </c>
      <c r="G1295" t="str">
        <f>HYPERLINK("https://www.google.com/maps/search/?api=1&amp;query=24.78875116,46.70551882", "View Map")</f>
        <v>View Map</v>
      </c>
    </row>
    <row r="1296" spans="1:7" x14ac:dyDescent="0.3">
      <c r="A1296" t="s">
        <v>2167</v>
      </c>
      <c r="B1296" t="s">
        <v>2168</v>
      </c>
      <c r="C1296" t="s">
        <v>9</v>
      </c>
      <c r="D1296" t="s">
        <v>154</v>
      </c>
      <c r="E1296">
        <v>494</v>
      </c>
      <c r="F1296" t="b">
        <v>1</v>
      </c>
      <c r="G1296" t="str">
        <f>HYPERLINK("https://www.google.com/maps/search/?api=1&amp;query=24.77965298,46.78322262", "View Map")</f>
        <v>View Map</v>
      </c>
    </row>
    <row r="1297" spans="1:7" x14ac:dyDescent="0.3">
      <c r="A1297" t="s">
        <v>2169</v>
      </c>
      <c r="B1297" t="s">
        <v>2170</v>
      </c>
      <c r="C1297" t="s">
        <v>9</v>
      </c>
      <c r="D1297" t="s">
        <v>154</v>
      </c>
      <c r="E1297">
        <v>494</v>
      </c>
      <c r="F1297" t="b">
        <v>1</v>
      </c>
      <c r="G1297" t="str">
        <f>HYPERLINK("https://www.google.com/maps/search/?api=1&amp;query=24.80910136,46.6500693", "View Map")</f>
        <v>View Map</v>
      </c>
    </row>
    <row r="1298" spans="1:7" x14ac:dyDescent="0.3">
      <c r="A1298" t="s">
        <v>27</v>
      </c>
      <c r="B1298" t="s">
        <v>2171</v>
      </c>
      <c r="C1298" t="s">
        <v>9</v>
      </c>
      <c r="D1298" t="s">
        <v>154</v>
      </c>
      <c r="E1298">
        <v>493</v>
      </c>
      <c r="F1298" t="b">
        <v>1</v>
      </c>
      <c r="G1298" t="str">
        <f>HYPERLINK("https://www.google.com/maps/search/?api=1&amp;query=24.89909243,46.86152296", "View Map")</f>
        <v>View Map</v>
      </c>
    </row>
    <row r="1299" spans="1:7" x14ac:dyDescent="0.3">
      <c r="A1299" t="s">
        <v>2172</v>
      </c>
      <c r="B1299" t="s">
        <v>2173</v>
      </c>
      <c r="C1299" t="s">
        <v>9</v>
      </c>
      <c r="D1299" t="s">
        <v>154</v>
      </c>
      <c r="E1299">
        <v>493</v>
      </c>
      <c r="F1299" t="b">
        <v>1</v>
      </c>
      <c r="G1299" t="str">
        <f>HYPERLINK("https://www.google.com/maps/search/?api=1&amp;query=24.61720633,46.76049055", "View Map")</f>
        <v>View Map</v>
      </c>
    </row>
    <row r="1300" spans="1:7" x14ac:dyDescent="0.3">
      <c r="A1300" t="s">
        <v>27</v>
      </c>
      <c r="B1300" t="s">
        <v>2174</v>
      </c>
      <c r="C1300" t="s">
        <v>9</v>
      </c>
      <c r="D1300" t="s">
        <v>154</v>
      </c>
      <c r="E1300">
        <v>493</v>
      </c>
      <c r="F1300" t="b">
        <v>1</v>
      </c>
      <c r="G1300" t="str">
        <f>HYPERLINK("https://www.google.com/maps/search/?api=1&amp;query=24.76777355,46.74623896", "View Map")</f>
        <v>View Map</v>
      </c>
    </row>
    <row r="1301" spans="1:7" x14ac:dyDescent="0.3">
      <c r="A1301" t="s">
        <v>2175</v>
      </c>
      <c r="B1301" t="s">
        <v>2176</v>
      </c>
      <c r="C1301" t="s">
        <v>9</v>
      </c>
      <c r="D1301" t="s">
        <v>154</v>
      </c>
      <c r="E1301">
        <v>493</v>
      </c>
      <c r="F1301" t="b">
        <v>1</v>
      </c>
      <c r="G1301" t="str">
        <f>HYPERLINK("https://www.google.com/maps/search/?api=1&amp;query=24.68195724,46.80076332", "View Map")</f>
        <v>View Map</v>
      </c>
    </row>
    <row r="1302" spans="1:7" x14ac:dyDescent="0.3">
      <c r="A1302" t="s">
        <v>2177</v>
      </c>
      <c r="B1302" t="s">
        <v>2178</v>
      </c>
      <c r="C1302" t="s">
        <v>9</v>
      </c>
      <c r="D1302" t="s">
        <v>154</v>
      </c>
      <c r="E1302">
        <v>492</v>
      </c>
      <c r="F1302" t="b">
        <v>1</v>
      </c>
      <c r="G1302" t="str">
        <f>HYPERLINK("https://www.google.com/maps/search/?api=1&amp;query=24.73880636,46.82314675", "View Map")</f>
        <v>View Map</v>
      </c>
    </row>
    <row r="1303" spans="1:7" x14ac:dyDescent="0.3">
      <c r="A1303" t="s">
        <v>27</v>
      </c>
      <c r="B1303" t="s">
        <v>2179</v>
      </c>
      <c r="C1303" t="s">
        <v>9</v>
      </c>
      <c r="D1303" t="s">
        <v>154</v>
      </c>
      <c r="E1303">
        <v>492</v>
      </c>
      <c r="F1303" t="b">
        <v>1</v>
      </c>
      <c r="G1303" t="str">
        <f>HYPERLINK("https://www.google.com/maps/search/?api=1&amp;query=24.83991516,46.76439191", "View Map")</f>
        <v>View Map</v>
      </c>
    </row>
    <row r="1304" spans="1:7" x14ac:dyDescent="0.3">
      <c r="A1304" t="s">
        <v>2180</v>
      </c>
      <c r="B1304" t="s">
        <v>2181</v>
      </c>
      <c r="C1304" t="s">
        <v>9</v>
      </c>
      <c r="D1304" t="s">
        <v>154</v>
      </c>
      <c r="E1304">
        <v>492</v>
      </c>
      <c r="F1304" t="b">
        <v>1</v>
      </c>
      <c r="G1304" t="str">
        <f>HYPERLINK("https://www.google.com/maps/search/?api=1&amp;query=24.63504009,46.71130222", "View Map")</f>
        <v>View Map</v>
      </c>
    </row>
    <row r="1305" spans="1:7" x14ac:dyDescent="0.3">
      <c r="A1305" t="s">
        <v>2182</v>
      </c>
      <c r="B1305" t="s">
        <v>2183</v>
      </c>
      <c r="C1305" t="s">
        <v>9</v>
      </c>
      <c r="D1305" t="s">
        <v>154</v>
      </c>
      <c r="E1305">
        <v>492</v>
      </c>
      <c r="F1305" t="b">
        <v>1</v>
      </c>
      <c r="G1305" t="str">
        <f>HYPERLINK("https://www.google.com/maps/search/?api=1&amp;query=24.72754218,46.79429586", "View Map")</f>
        <v>View Map</v>
      </c>
    </row>
    <row r="1306" spans="1:7" x14ac:dyDescent="0.3">
      <c r="A1306" t="s">
        <v>2184</v>
      </c>
      <c r="B1306" t="s">
        <v>2185</v>
      </c>
      <c r="C1306" t="s">
        <v>9</v>
      </c>
      <c r="D1306" t="s">
        <v>154</v>
      </c>
      <c r="E1306">
        <v>491</v>
      </c>
      <c r="F1306" t="b">
        <v>1</v>
      </c>
      <c r="G1306" t="str">
        <f>HYPERLINK("https://www.google.com/maps/search/?api=1&amp;query=24.65746489,46.82236998", "View Map")</f>
        <v>View Map</v>
      </c>
    </row>
    <row r="1307" spans="1:7" x14ac:dyDescent="0.3">
      <c r="A1307" t="s">
        <v>2186</v>
      </c>
      <c r="B1307" t="s">
        <v>2187</v>
      </c>
      <c r="C1307" t="s">
        <v>9</v>
      </c>
      <c r="D1307" t="s">
        <v>154</v>
      </c>
      <c r="E1307">
        <v>491</v>
      </c>
      <c r="F1307" t="b">
        <v>0</v>
      </c>
      <c r="G1307" t="str">
        <f>HYPERLINK("https://www.google.com/maps/search/?api=1&amp;query=24.62320444,46.70039435", "View Map")</f>
        <v>View Map</v>
      </c>
    </row>
    <row r="1308" spans="1:7" x14ac:dyDescent="0.3">
      <c r="A1308" t="s">
        <v>19</v>
      </c>
      <c r="B1308" t="s">
        <v>2188</v>
      </c>
      <c r="C1308" t="s">
        <v>9</v>
      </c>
      <c r="D1308" t="s">
        <v>154</v>
      </c>
      <c r="E1308">
        <v>491</v>
      </c>
      <c r="F1308" t="b">
        <v>1</v>
      </c>
      <c r="G1308" t="str">
        <f>HYPERLINK("https://www.google.com/maps/search/?api=1&amp;query=24.84151273,46.6844907", "View Map")</f>
        <v>View Map</v>
      </c>
    </row>
    <row r="1309" spans="1:7" x14ac:dyDescent="0.3">
      <c r="A1309" t="s">
        <v>2189</v>
      </c>
      <c r="B1309" t="s">
        <v>2190</v>
      </c>
      <c r="C1309" t="s">
        <v>9</v>
      </c>
      <c r="D1309" t="s">
        <v>154</v>
      </c>
      <c r="E1309">
        <v>491</v>
      </c>
      <c r="F1309" t="b">
        <v>1</v>
      </c>
      <c r="G1309" t="str">
        <f>HYPERLINK("https://www.google.com/maps/search/?api=1&amp;query=24.62634393,46.79037156", "View Map")</f>
        <v>View Map</v>
      </c>
    </row>
    <row r="1310" spans="1:7" x14ac:dyDescent="0.3">
      <c r="A1310" t="s">
        <v>2191</v>
      </c>
      <c r="B1310" t="s">
        <v>2192</v>
      </c>
      <c r="C1310" t="s">
        <v>9</v>
      </c>
      <c r="D1310" t="s">
        <v>154</v>
      </c>
      <c r="E1310">
        <v>491</v>
      </c>
      <c r="F1310" t="b">
        <v>1</v>
      </c>
      <c r="G1310" t="str">
        <f>HYPERLINK("https://www.google.com/maps/search/?api=1&amp;query=24.80938896,46.68705046", "View Map")</f>
        <v>View Map</v>
      </c>
    </row>
    <row r="1311" spans="1:7" x14ac:dyDescent="0.3">
      <c r="A1311" t="s">
        <v>27</v>
      </c>
      <c r="B1311" t="s">
        <v>2193</v>
      </c>
      <c r="C1311" t="s">
        <v>9</v>
      </c>
      <c r="D1311" t="s">
        <v>154</v>
      </c>
      <c r="E1311">
        <v>491</v>
      </c>
      <c r="F1311" t="b">
        <v>1</v>
      </c>
      <c r="G1311" t="str">
        <f>HYPERLINK("https://www.google.com/maps/search/?api=1&amp;query=24.7919,46.6094", "View Map")</f>
        <v>View Map</v>
      </c>
    </row>
    <row r="1312" spans="1:7" x14ac:dyDescent="0.3">
      <c r="A1312" t="s">
        <v>2194</v>
      </c>
      <c r="B1312" t="s">
        <v>2195</v>
      </c>
      <c r="C1312" t="s">
        <v>9</v>
      </c>
      <c r="D1312" t="s">
        <v>154</v>
      </c>
      <c r="E1312">
        <v>491</v>
      </c>
      <c r="F1312" t="b">
        <v>1</v>
      </c>
      <c r="G1312" t="str">
        <f>HYPERLINK("https://www.google.com/maps/search/?api=1&amp;query=24.56690937,46.54187861", "View Map")</f>
        <v>View Map</v>
      </c>
    </row>
    <row r="1313" spans="1:7" x14ac:dyDescent="0.3">
      <c r="A1313" t="s">
        <v>988</v>
      </c>
      <c r="B1313" t="s">
        <v>2196</v>
      </c>
      <c r="C1313" t="s">
        <v>9</v>
      </c>
      <c r="D1313" t="s">
        <v>154</v>
      </c>
      <c r="E1313">
        <v>490</v>
      </c>
      <c r="F1313" t="b">
        <v>1</v>
      </c>
      <c r="G1313" t="str">
        <f>HYPERLINK("https://www.google.com/maps/search/?api=1&amp;query=24.69643018,46.86031652", "View Map")</f>
        <v>View Map</v>
      </c>
    </row>
    <row r="1314" spans="1:7" x14ac:dyDescent="0.3">
      <c r="A1314" t="s">
        <v>27</v>
      </c>
      <c r="B1314" t="s">
        <v>2197</v>
      </c>
      <c r="C1314" t="s">
        <v>9</v>
      </c>
      <c r="D1314" t="s">
        <v>154</v>
      </c>
      <c r="E1314">
        <v>490</v>
      </c>
      <c r="F1314" t="b">
        <v>1</v>
      </c>
      <c r="G1314" t="str">
        <f>HYPERLINK("https://www.google.com/maps/search/?api=1&amp;query=24.93037602,46.79306524", "View Map")</f>
        <v>View Map</v>
      </c>
    </row>
    <row r="1315" spans="1:7" x14ac:dyDescent="0.3">
      <c r="A1315" t="s">
        <v>2198</v>
      </c>
      <c r="B1315" t="s">
        <v>2199</v>
      </c>
      <c r="C1315" t="s">
        <v>9</v>
      </c>
      <c r="D1315" t="s">
        <v>154</v>
      </c>
      <c r="E1315">
        <v>490</v>
      </c>
      <c r="F1315" t="b">
        <v>0</v>
      </c>
      <c r="G1315" t="str">
        <f>HYPERLINK("https://www.google.com/maps/search/?api=1&amp;query=24.772485,46.799542", "View Map")</f>
        <v>View Map</v>
      </c>
    </row>
    <row r="1316" spans="1:7" x14ac:dyDescent="0.3">
      <c r="A1316" t="s">
        <v>1391</v>
      </c>
      <c r="B1316" t="s">
        <v>2200</v>
      </c>
      <c r="C1316" t="s">
        <v>9</v>
      </c>
      <c r="D1316" t="s">
        <v>154</v>
      </c>
      <c r="E1316">
        <v>490</v>
      </c>
      <c r="F1316" t="b">
        <v>1</v>
      </c>
      <c r="G1316" t="str">
        <f>HYPERLINK("https://www.google.com/maps/search/?api=1&amp;query=24.70369435,46.80415082", "View Map")</f>
        <v>View Map</v>
      </c>
    </row>
    <row r="1317" spans="1:7" x14ac:dyDescent="0.3">
      <c r="A1317" t="s">
        <v>2201</v>
      </c>
      <c r="B1317" t="s">
        <v>2202</v>
      </c>
      <c r="C1317" t="s">
        <v>9</v>
      </c>
      <c r="D1317" t="s">
        <v>154</v>
      </c>
      <c r="E1317">
        <v>490</v>
      </c>
      <c r="F1317" t="b">
        <v>1</v>
      </c>
      <c r="G1317" t="str">
        <f>HYPERLINK("https://www.google.com/maps/search/?api=1&amp;query=24.79970292,46.80872302", "View Map")</f>
        <v>View Map</v>
      </c>
    </row>
    <row r="1318" spans="1:7" x14ac:dyDescent="0.3">
      <c r="A1318" t="s">
        <v>2203</v>
      </c>
      <c r="B1318" t="s">
        <v>2204</v>
      </c>
      <c r="C1318" t="s">
        <v>9</v>
      </c>
      <c r="D1318" t="s">
        <v>154</v>
      </c>
      <c r="E1318">
        <v>489</v>
      </c>
      <c r="F1318" t="b">
        <v>1</v>
      </c>
      <c r="G1318" t="str">
        <f>HYPERLINK("https://www.google.com/maps/search/?api=1&amp;query=24.63736913,46.55090118", "View Map")</f>
        <v>View Map</v>
      </c>
    </row>
    <row r="1319" spans="1:7" x14ac:dyDescent="0.3">
      <c r="A1319" t="s">
        <v>504</v>
      </c>
      <c r="B1319" t="s">
        <v>2205</v>
      </c>
      <c r="C1319" t="s">
        <v>9</v>
      </c>
      <c r="D1319" t="s">
        <v>154</v>
      </c>
      <c r="E1319">
        <v>489</v>
      </c>
      <c r="F1319" t="b">
        <v>1</v>
      </c>
      <c r="G1319" t="str">
        <f>HYPERLINK("https://www.google.com/maps/search/?api=1&amp;query=24.59557975,46.60421244", "View Map")</f>
        <v>View Map</v>
      </c>
    </row>
    <row r="1320" spans="1:7" x14ac:dyDescent="0.3">
      <c r="A1320" t="s">
        <v>2206</v>
      </c>
      <c r="B1320" t="s">
        <v>2207</v>
      </c>
      <c r="C1320" t="s">
        <v>9</v>
      </c>
      <c r="D1320" t="s">
        <v>154</v>
      </c>
      <c r="E1320">
        <v>489</v>
      </c>
      <c r="F1320" t="b">
        <v>1</v>
      </c>
      <c r="G1320" t="str">
        <f>HYPERLINK("https://www.google.com/maps/search/?api=1&amp;query=24.63137862,46.57013132", "View Map")</f>
        <v>View Map</v>
      </c>
    </row>
    <row r="1321" spans="1:7" x14ac:dyDescent="0.3">
      <c r="A1321" t="s">
        <v>2208</v>
      </c>
      <c r="B1321" t="s">
        <v>2209</v>
      </c>
      <c r="C1321" t="s">
        <v>9</v>
      </c>
      <c r="D1321" t="s">
        <v>154</v>
      </c>
      <c r="E1321">
        <v>489</v>
      </c>
      <c r="F1321" t="b">
        <v>1</v>
      </c>
      <c r="G1321" t="str">
        <f>HYPERLINK("https://www.google.com/maps/search/?api=1&amp;query=24.75511331,46.72560344", "View Map")</f>
        <v>View Map</v>
      </c>
    </row>
    <row r="1322" spans="1:7" x14ac:dyDescent="0.3">
      <c r="A1322" t="s">
        <v>2210</v>
      </c>
      <c r="B1322" t="s">
        <v>2211</v>
      </c>
      <c r="C1322" t="s">
        <v>9</v>
      </c>
      <c r="D1322" t="s">
        <v>154</v>
      </c>
      <c r="E1322">
        <v>488</v>
      </c>
      <c r="F1322" t="b">
        <v>1</v>
      </c>
      <c r="G1322" t="str">
        <f>HYPERLINK("https://www.google.com/maps/search/?api=1&amp;query=24.59538606,46.76029581", "View Map")</f>
        <v>View Map</v>
      </c>
    </row>
    <row r="1323" spans="1:7" x14ac:dyDescent="0.3">
      <c r="A1323" t="s">
        <v>159</v>
      </c>
      <c r="B1323" t="s">
        <v>2212</v>
      </c>
      <c r="C1323" t="s">
        <v>9</v>
      </c>
      <c r="D1323" t="s">
        <v>154</v>
      </c>
      <c r="E1323">
        <v>488</v>
      </c>
      <c r="F1323" t="b">
        <v>1</v>
      </c>
      <c r="G1323" t="str">
        <f>HYPERLINK("https://www.google.com/maps/search/?api=1&amp;query=24.56178627,46.5237511", "View Map")</f>
        <v>View Map</v>
      </c>
    </row>
    <row r="1324" spans="1:7" x14ac:dyDescent="0.3">
      <c r="A1324" t="s">
        <v>129</v>
      </c>
      <c r="B1324" t="s">
        <v>2213</v>
      </c>
      <c r="C1324" t="s">
        <v>9</v>
      </c>
      <c r="D1324" t="s">
        <v>154</v>
      </c>
      <c r="E1324">
        <v>488</v>
      </c>
      <c r="F1324" t="b">
        <v>1</v>
      </c>
      <c r="G1324" t="str">
        <f>HYPERLINK("https://www.google.com/maps/search/?api=1&amp;query=24.75253842,46.77390533", "View Map")</f>
        <v>View Map</v>
      </c>
    </row>
    <row r="1325" spans="1:7" x14ac:dyDescent="0.3">
      <c r="A1325" t="s">
        <v>2214</v>
      </c>
      <c r="B1325" t="s">
        <v>2215</v>
      </c>
      <c r="C1325" t="s">
        <v>9</v>
      </c>
      <c r="D1325" t="s">
        <v>154</v>
      </c>
      <c r="E1325">
        <v>487</v>
      </c>
      <c r="F1325" t="b">
        <v>1</v>
      </c>
      <c r="G1325" t="str">
        <f>HYPERLINK("https://www.google.com/maps/search/?api=1&amp;query=24.82615339,46.60718877", "View Map")</f>
        <v>View Map</v>
      </c>
    </row>
    <row r="1326" spans="1:7" x14ac:dyDescent="0.3">
      <c r="A1326" t="s">
        <v>1005</v>
      </c>
      <c r="B1326" t="s">
        <v>2216</v>
      </c>
      <c r="C1326" t="s">
        <v>9</v>
      </c>
      <c r="D1326" t="s">
        <v>154</v>
      </c>
      <c r="E1326">
        <v>487</v>
      </c>
      <c r="F1326" t="b">
        <v>1</v>
      </c>
      <c r="G1326" t="str">
        <f>HYPERLINK("https://www.google.com/maps/search/?api=1&amp;query=24.67815997,46.78595487", "View Map")</f>
        <v>View Map</v>
      </c>
    </row>
    <row r="1327" spans="1:7" x14ac:dyDescent="0.3">
      <c r="A1327" t="s">
        <v>2217</v>
      </c>
      <c r="B1327" t="s">
        <v>2218</v>
      </c>
      <c r="C1327" t="s">
        <v>9</v>
      </c>
      <c r="D1327" t="s">
        <v>154</v>
      </c>
      <c r="E1327">
        <v>487</v>
      </c>
      <c r="F1327" t="b">
        <v>1</v>
      </c>
      <c r="G1327" t="str">
        <f>HYPERLINK("https://www.google.com/maps/search/?api=1&amp;query=24.58228554,46.78926149", "View Map")</f>
        <v>View Map</v>
      </c>
    </row>
    <row r="1328" spans="1:7" x14ac:dyDescent="0.3">
      <c r="A1328" t="s">
        <v>2219</v>
      </c>
      <c r="B1328" t="s">
        <v>2220</v>
      </c>
      <c r="C1328" t="s">
        <v>9</v>
      </c>
      <c r="D1328" t="s">
        <v>154</v>
      </c>
      <c r="E1328">
        <v>487</v>
      </c>
      <c r="F1328" t="b">
        <v>1</v>
      </c>
      <c r="G1328" t="str">
        <f>HYPERLINK("https://www.google.com/maps/search/?api=1&amp;query=24.64895845,46.66863506", "View Map")</f>
        <v>View Map</v>
      </c>
    </row>
    <row r="1329" spans="1:7" x14ac:dyDescent="0.3">
      <c r="A1329" t="s">
        <v>2221</v>
      </c>
      <c r="B1329" t="s">
        <v>2222</v>
      </c>
      <c r="C1329" t="s">
        <v>9</v>
      </c>
      <c r="D1329" t="s">
        <v>154</v>
      </c>
      <c r="E1329">
        <v>487</v>
      </c>
      <c r="F1329" t="b">
        <v>1</v>
      </c>
      <c r="G1329" t="str">
        <f>HYPERLINK("https://www.google.com/maps/search/?api=1&amp;query=24.57606782,46.64729956", "View Map")</f>
        <v>View Map</v>
      </c>
    </row>
    <row r="1330" spans="1:7" x14ac:dyDescent="0.3">
      <c r="A1330" t="s">
        <v>2223</v>
      </c>
      <c r="B1330" t="s">
        <v>2224</v>
      </c>
      <c r="C1330" t="s">
        <v>9</v>
      </c>
      <c r="D1330" t="s">
        <v>154</v>
      </c>
      <c r="E1330">
        <v>487</v>
      </c>
      <c r="F1330" t="b">
        <v>0</v>
      </c>
      <c r="G1330" t="str">
        <f>HYPERLINK("https://www.google.com/maps/search/?api=1&amp;query=24.575798,46.59163608", "View Map")</f>
        <v>View Map</v>
      </c>
    </row>
    <row r="1331" spans="1:7" x14ac:dyDescent="0.3">
      <c r="A1331" t="s">
        <v>2225</v>
      </c>
      <c r="B1331" t="s">
        <v>2226</v>
      </c>
      <c r="C1331" t="s">
        <v>9</v>
      </c>
      <c r="D1331" t="s">
        <v>154</v>
      </c>
      <c r="E1331">
        <v>487</v>
      </c>
      <c r="F1331" t="b">
        <v>1</v>
      </c>
      <c r="G1331" t="str">
        <f>HYPERLINK("https://www.google.com/maps/search/?api=1&amp;query=24.75081973,46.84537714", "View Map")</f>
        <v>View Map</v>
      </c>
    </row>
    <row r="1332" spans="1:7" x14ac:dyDescent="0.3">
      <c r="A1332" t="s">
        <v>1422</v>
      </c>
      <c r="B1332" t="s">
        <v>2227</v>
      </c>
      <c r="C1332" t="s">
        <v>9</v>
      </c>
      <c r="D1332" t="s">
        <v>154</v>
      </c>
      <c r="E1332">
        <v>487</v>
      </c>
      <c r="F1332" t="b">
        <v>1</v>
      </c>
      <c r="G1332" t="str">
        <f>HYPERLINK("https://www.google.com/maps/search/?api=1&amp;query=24.73914909,46.82461504", "View Map")</f>
        <v>View Map</v>
      </c>
    </row>
    <row r="1333" spans="1:7" x14ac:dyDescent="0.3">
      <c r="A1333" t="s">
        <v>27</v>
      </c>
      <c r="B1333" t="s">
        <v>2228</v>
      </c>
      <c r="C1333" t="s">
        <v>9</v>
      </c>
      <c r="D1333" t="s">
        <v>154</v>
      </c>
      <c r="E1333">
        <v>487</v>
      </c>
      <c r="F1333" t="b">
        <v>1</v>
      </c>
      <c r="G1333" t="str">
        <f>HYPERLINK("https://www.google.com/maps/search/?api=1&amp;query=24.60699733,46.52597876", "View Map")</f>
        <v>View Map</v>
      </c>
    </row>
    <row r="1334" spans="1:7" x14ac:dyDescent="0.3">
      <c r="A1334" t="s">
        <v>2229</v>
      </c>
      <c r="B1334" t="s">
        <v>2230</v>
      </c>
      <c r="C1334" t="s">
        <v>9</v>
      </c>
      <c r="D1334" t="s">
        <v>154</v>
      </c>
      <c r="E1334">
        <v>486</v>
      </c>
      <c r="F1334" t="b">
        <v>1</v>
      </c>
      <c r="G1334" t="str">
        <f>HYPERLINK("https://www.google.com/maps/search/?api=1&amp;query=24.79599211,46.78337301", "View Map")</f>
        <v>View Map</v>
      </c>
    </row>
    <row r="1335" spans="1:7" x14ac:dyDescent="0.3">
      <c r="A1335" t="s">
        <v>27</v>
      </c>
      <c r="B1335" t="s">
        <v>2231</v>
      </c>
      <c r="C1335" t="s">
        <v>9</v>
      </c>
      <c r="D1335" t="s">
        <v>154</v>
      </c>
      <c r="E1335">
        <v>486</v>
      </c>
      <c r="F1335" t="b">
        <v>1</v>
      </c>
      <c r="G1335" t="str">
        <f>HYPERLINK("https://www.google.com/maps/search/?api=1&amp;query=24.85394456,46.83470267", "View Map")</f>
        <v>View Map</v>
      </c>
    </row>
    <row r="1336" spans="1:7" x14ac:dyDescent="0.3">
      <c r="A1336" t="s">
        <v>2232</v>
      </c>
      <c r="B1336" t="s">
        <v>2233</v>
      </c>
      <c r="C1336" t="s">
        <v>9</v>
      </c>
      <c r="D1336" t="s">
        <v>154</v>
      </c>
      <c r="E1336">
        <v>486</v>
      </c>
      <c r="F1336" t="b">
        <v>1</v>
      </c>
      <c r="G1336" t="str">
        <f>HYPERLINK("https://www.google.com/maps/search/?api=1&amp;query=0.0,0.0", "View Map")</f>
        <v>View Map</v>
      </c>
    </row>
    <row r="1337" spans="1:7" x14ac:dyDescent="0.3">
      <c r="A1337" t="s">
        <v>27</v>
      </c>
      <c r="B1337" t="s">
        <v>2234</v>
      </c>
      <c r="C1337" t="s">
        <v>72</v>
      </c>
      <c r="D1337" t="s">
        <v>154</v>
      </c>
      <c r="E1337">
        <v>485</v>
      </c>
      <c r="F1337" t="b">
        <v>1</v>
      </c>
      <c r="G1337" t="str">
        <f>HYPERLINK("https://www.google.com/maps/search/?api=1&amp;query=24.74007,46.51733", "View Map")</f>
        <v>View Map</v>
      </c>
    </row>
    <row r="1338" spans="1:7" x14ac:dyDescent="0.3">
      <c r="A1338" t="s">
        <v>2235</v>
      </c>
      <c r="B1338" t="s">
        <v>2236</v>
      </c>
      <c r="C1338" t="s">
        <v>9</v>
      </c>
      <c r="D1338" t="s">
        <v>154</v>
      </c>
      <c r="E1338">
        <v>485</v>
      </c>
      <c r="F1338" t="b">
        <v>1</v>
      </c>
      <c r="G1338" t="str">
        <f>HYPERLINK("https://www.google.com/maps/search/?api=1&amp;query=24.68959898,46.78564211", "View Map")</f>
        <v>View Map</v>
      </c>
    </row>
    <row r="1339" spans="1:7" x14ac:dyDescent="0.3">
      <c r="A1339" t="s">
        <v>2237</v>
      </c>
      <c r="B1339" t="s">
        <v>2238</v>
      </c>
      <c r="C1339" t="s">
        <v>9</v>
      </c>
      <c r="D1339" t="s">
        <v>154</v>
      </c>
      <c r="E1339">
        <v>485</v>
      </c>
      <c r="F1339" t="b">
        <v>1</v>
      </c>
      <c r="G1339" t="str">
        <f>HYPERLINK("https://www.google.com/maps/search/?api=1&amp;query=24.69756071,46.76240858", "View Map")</f>
        <v>View Map</v>
      </c>
    </row>
    <row r="1340" spans="1:7" x14ac:dyDescent="0.3">
      <c r="A1340" t="s">
        <v>2239</v>
      </c>
      <c r="B1340" t="s">
        <v>2240</v>
      </c>
      <c r="C1340" t="s">
        <v>9</v>
      </c>
      <c r="D1340" t="s">
        <v>154</v>
      </c>
      <c r="E1340">
        <v>485</v>
      </c>
      <c r="F1340" t="b">
        <v>1</v>
      </c>
      <c r="G1340" t="str">
        <f>HYPERLINK("https://www.google.com/maps/search/?api=1&amp;query=24.52815283,46.66129411", "View Map")</f>
        <v>View Map</v>
      </c>
    </row>
    <row r="1341" spans="1:7" x14ac:dyDescent="0.3">
      <c r="A1341" t="s">
        <v>2241</v>
      </c>
      <c r="B1341" t="s">
        <v>2242</v>
      </c>
      <c r="C1341" t="s">
        <v>9</v>
      </c>
      <c r="D1341" t="s">
        <v>154</v>
      </c>
      <c r="E1341">
        <v>484</v>
      </c>
      <c r="F1341" t="b">
        <v>1</v>
      </c>
      <c r="G1341" t="str">
        <f>HYPERLINK("https://www.google.com/maps/search/?api=1&amp;query=24.60303417,46.6919254", "View Map")</f>
        <v>View Map</v>
      </c>
    </row>
    <row r="1342" spans="1:7" x14ac:dyDescent="0.3">
      <c r="A1342" t="s">
        <v>2243</v>
      </c>
      <c r="B1342" t="s">
        <v>2244</v>
      </c>
      <c r="C1342" t="s">
        <v>9</v>
      </c>
      <c r="D1342" t="s">
        <v>154</v>
      </c>
      <c r="E1342">
        <v>484</v>
      </c>
      <c r="F1342" t="b">
        <v>0</v>
      </c>
      <c r="G1342" t="str">
        <f>HYPERLINK("https://www.google.com/maps/search/?api=1&amp;query=24.58522127,46.58221971", "View Map")</f>
        <v>View Map</v>
      </c>
    </row>
    <row r="1343" spans="1:7" x14ac:dyDescent="0.3">
      <c r="A1343" t="s">
        <v>2245</v>
      </c>
      <c r="B1343" t="s">
        <v>2246</v>
      </c>
      <c r="C1343" t="s">
        <v>9</v>
      </c>
      <c r="D1343" t="s">
        <v>154</v>
      </c>
      <c r="E1343">
        <v>483</v>
      </c>
      <c r="F1343" t="b">
        <v>1</v>
      </c>
      <c r="G1343" t="str">
        <f>HYPERLINK("https://www.google.com/maps/search/?api=1&amp;query=24.7248084,46.80294878", "View Map")</f>
        <v>View Map</v>
      </c>
    </row>
    <row r="1344" spans="1:7" x14ac:dyDescent="0.3">
      <c r="A1344" t="s">
        <v>19</v>
      </c>
      <c r="B1344" t="s">
        <v>2247</v>
      </c>
      <c r="C1344" t="s">
        <v>9</v>
      </c>
      <c r="D1344" t="s">
        <v>154</v>
      </c>
      <c r="E1344">
        <v>483</v>
      </c>
      <c r="F1344" t="b">
        <v>1</v>
      </c>
      <c r="G1344" t="str">
        <f>HYPERLINK("https://www.google.com/maps/search/?api=1&amp;query=24.80023158,46.6833755", "View Map")</f>
        <v>View Map</v>
      </c>
    </row>
    <row r="1345" spans="1:7" x14ac:dyDescent="0.3">
      <c r="A1345" t="s">
        <v>2248</v>
      </c>
      <c r="B1345" t="s">
        <v>2249</v>
      </c>
      <c r="C1345" t="s">
        <v>9</v>
      </c>
      <c r="D1345" t="s">
        <v>154</v>
      </c>
      <c r="E1345">
        <v>482</v>
      </c>
      <c r="F1345" t="b">
        <v>1</v>
      </c>
      <c r="G1345" t="str">
        <f>HYPERLINK("https://www.google.com/maps/search/?api=1&amp;query=24.75965878,46.67599022", "View Map")</f>
        <v>View Map</v>
      </c>
    </row>
    <row r="1346" spans="1:7" x14ac:dyDescent="0.3">
      <c r="A1346" t="s">
        <v>2250</v>
      </c>
      <c r="B1346" t="s">
        <v>2251</v>
      </c>
      <c r="C1346" t="s">
        <v>9</v>
      </c>
      <c r="D1346" t="s">
        <v>154</v>
      </c>
      <c r="E1346">
        <v>482</v>
      </c>
      <c r="F1346" t="b">
        <v>1</v>
      </c>
      <c r="G1346" t="str">
        <f>HYPERLINK("https://www.google.com/maps/search/?api=1&amp;query=24.6796903,46.66705264", "View Map")</f>
        <v>View Map</v>
      </c>
    </row>
    <row r="1347" spans="1:7" x14ac:dyDescent="0.3">
      <c r="A1347" t="s">
        <v>2252</v>
      </c>
      <c r="B1347" t="s">
        <v>2253</v>
      </c>
      <c r="C1347" t="s">
        <v>9</v>
      </c>
      <c r="D1347" t="s">
        <v>154</v>
      </c>
      <c r="E1347">
        <v>482</v>
      </c>
      <c r="F1347" t="b">
        <v>1</v>
      </c>
      <c r="G1347" t="str">
        <f>HYPERLINK("https://www.google.com/maps/search/?api=1&amp;query=24.80981262,46.74898654", "View Map")</f>
        <v>View Map</v>
      </c>
    </row>
    <row r="1348" spans="1:7" x14ac:dyDescent="0.3">
      <c r="A1348" t="s">
        <v>2254</v>
      </c>
      <c r="B1348" t="s">
        <v>2255</v>
      </c>
      <c r="C1348" t="s">
        <v>9</v>
      </c>
      <c r="D1348" t="s">
        <v>154</v>
      </c>
      <c r="E1348">
        <v>482</v>
      </c>
      <c r="F1348" t="b">
        <v>1</v>
      </c>
      <c r="G1348" t="str">
        <f>HYPERLINK("https://www.google.com/maps/search/?api=1&amp;query=24.54254289,46.70998253", "View Map")</f>
        <v>View Map</v>
      </c>
    </row>
    <row r="1349" spans="1:7" x14ac:dyDescent="0.3">
      <c r="A1349" t="s">
        <v>27</v>
      </c>
      <c r="B1349" t="s">
        <v>2256</v>
      </c>
      <c r="C1349" t="s">
        <v>9</v>
      </c>
      <c r="D1349" t="s">
        <v>154</v>
      </c>
      <c r="E1349">
        <v>482</v>
      </c>
      <c r="F1349" t="b">
        <v>1</v>
      </c>
      <c r="G1349" t="str">
        <f>HYPERLINK("https://www.google.com/maps/search/?api=1&amp;query=24.79224368,46.59500959", "View Map")</f>
        <v>View Map</v>
      </c>
    </row>
    <row r="1350" spans="1:7" x14ac:dyDescent="0.3">
      <c r="A1350" t="s">
        <v>2257</v>
      </c>
      <c r="B1350" t="s">
        <v>2258</v>
      </c>
      <c r="C1350" t="s">
        <v>9</v>
      </c>
      <c r="D1350" t="s">
        <v>154</v>
      </c>
      <c r="E1350">
        <v>481</v>
      </c>
      <c r="F1350" t="b">
        <v>1</v>
      </c>
      <c r="G1350" t="str">
        <f>HYPERLINK("https://www.google.com/maps/search/?api=1&amp;query=24.56236108,46.74887174", "View Map")</f>
        <v>View Map</v>
      </c>
    </row>
    <row r="1351" spans="1:7" x14ac:dyDescent="0.3">
      <c r="A1351" t="s">
        <v>27</v>
      </c>
      <c r="B1351" t="s">
        <v>2259</v>
      </c>
      <c r="C1351" t="s">
        <v>9</v>
      </c>
      <c r="D1351" t="s">
        <v>154</v>
      </c>
      <c r="E1351">
        <v>481</v>
      </c>
      <c r="F1351" t="b">
        <v>1</v>
      </c>
      <c r="G1351" t="str">
        <f>HYPERLINK("https://www.google.com/maps/search/?api=1&amp;query=24.806819,46.82055937", "View Map")</f>
        <v>View Map</v>
      </c>
    </row>
    <row r="1352" spans="1:7" x14ac:dyDescent="0.3">
      <c r="A1352" t="s">
        <v>159</v>
      </c>
      <c r="B1352" t="s">
        <v>2260</v>
      </c>
      <c r="C1352" t="s">
        <v>9</v>
      </c>
      <c r="D1352" t="s">
        <v>154</v>
      </c>
      <c r="E1352">
        <v>481</v>
      </c>
      <c r="F1352" t="b">
        <v>1</v>
      </c>
      <c r="G1352" t="str">
        <f>HYPERLINK("https://www.google.com/maps/search/?api=1&amp;query=24.50563991,46.62900741", "View Map")</f>
        <v>View Map</v>
      </c>
    </row>
    <row r="1353" spans="1:7" x14ac:dyDescent="0.3">
      <c r="A1353" t="s">
        <v>2261</v>
      </c>
      <c r="B1353" t="s">
        <v>2262</v>
      </c>
      <c r="C1353" t="s">
        <v>9</v>
      </c>
      <c r="D1353" t="s">
        <v>154</v>
      </c>
      <c r="E1353">
        <v>481</v>
      </c>
      <c r="F1353" t="b">
        <v>1</v>
      </c>
      <c r="G1353" t="str">
        <f>HYPERLINK("https://www.google.com/maps/search/?api=1&amp;query=24.5912307,46.54045824", "View Map")</f>
        <v>View Map</v>
      </c>
    </row>
    <row r="1354" spans="1:7" x14ac:dyDescent="0.3">
      <c r="A1354" t="s">
        <v>2263</v>
      </c>
      <c r="B1354" t="s">
        <v>2264</v>
      </c>
      <c r="C1354" t="s">
        <v>9</v>
      </c>
      <c r="D1354" t="s">
        <v>154</v>
      </c>
      <c r="E1354">
        <v>481</v>
      </c>
      <c r="F1354" t="b">
        <v>1</v>
      </c>
      <c r="G1354" t="str">
        <f>HYPERLINK("https://www.google.com/maps/search/?api=1&amp;query=24.74180542,46.67161672", "View Map")</f>
        <v>View Map</v>
      </c>
    </row>
    <row r="1355" spans="1:7" x14ac:dyDescent="0.3">
      <c r="A1355" t="s">
        <v>2265</v>
      </c>
      <c r="B1355" t="s">
        <v>2266</v>
      </c>
      <c r="C1355" t="s">
        <v>9</v>
      </c>
      <c r="D1355" t="s">
        <v>154</v>
      </c>
      <c r="E1355">
        <v>481</v>
      </c>
      <c r="F1355" t="b">
        <v>1</v>
      </c>
      <c r="G1355" t="str">
        <f>HYPERLINK("https://www.google.com/maps/search/?api=1&amp;query=24.74898477,46.62586132", "View Map")</f>
        <v>View Map</v>
      </c>
    </row>
    <row r="1356" spans="1:7" x14ac:dyDescent="0.3">
      <c r="A1356" t="s">
        <v>2267</v>
      </c>
      <c r="B1356" t="s">
        <v>2268</v>
      </c>
      <c r="C1356" t="s">
        <v>9</v>
      </c>
      <c r="D1356" t="s">
        <v>154</v>
      </c>
      <c r="E1356">
        <v>481</v>
      </c>
      <c r="F1356" t="b">
        <v>1</v>
      </c>
      <c r="G1356" t="str">
        <f>HYPERLINK("https://www.google.com/maps/search/?api=1&amp;query=24.74558011,46.76686643", "View Map")</f>
        <v>View Map</v>
      </c>
    </row>
    <row r="1357" spans="1:7" x14ac:dyDescent="0.3">
      <c r="A1357" t="s">
        <v>2269</v>
      </c>
      <c r="B1357" t="s">
        <v>2270</v>
      </c>
      <c r="C1357" t="s">
        <v>9</v>
      </c>
      <c r="D1357" t="s">
        <v>154</v>
      </c>
      <c r="E1357">
        <v>480</v>
      </c>
      <c r="F1357" t="b">
        <v>1</v>
      </c>
      <c r="G1357" t="str">
        <f>HYPERLINK("https://www.google.com/maps/search/?api=1&amp;query=24.5996097,46.68403518", "View Map")</f>
        <v>View Map</v>
      </c>
    </row>
    <row r="1358" spans="1:7" x14ac:dyDescent="0.3">
      <c r="A1358" t="s">
        <v>2271</v>
      </c>
      <c r="B1358" t="s">
        <v>2272</v>
      </c>
      <c r="C1358" t="s">
        <v>9</v>
      </c>
      <c r="D1358" t="s">
        <v>154</v>
      </c>
      <c r="E1358">
        <v>480</v>
      </c>
      <c r="F1358" t="b">
        <v>1</v>
      </c>
      <c r="G1358" t="str">
        <f>HYPERLINK("https://www.google.com/maps/search/?api=1&amp;query=24.74132249,46.78830507", "View Map")</f>
        <v>View Map</v>
      </c>
    </row>
    <row r="1359" spans="1:7" x14ac:dyDescent="0.3">
      <c r="A1359" t="s">
        <v>27</v>
      </c>
      <c r="B1359" t="s">
        <v>2273</v>
      </c>
      <c r="C1359" t="s">
        <v>9</v>
      </c>
      <c r="D1359" t="s">
        <v>154</v>
      </c>
      <c r="E1359">
        <v>480</v>
      </c>
      <c r="F1359" t="b">
        <v>1</v>
      </c>
      <c r="G1359" t="str">
        <f>HYPERLINK("https://www.google.com/maps/search/?api=1&amp;query=24.84300835,46.7751923", "View Map")</f>
        <v>View Map</v>
      </c>
    </row>
    <row r="1360" spans="1:7" x14ac:dyDescent="0.3">
      <c r="A1360" t="s">
        <v>27</v>
      </c>
      <c r="B1360" t="s">
        <v>2274</v>
      </c>
      <c r="C1360" t="s">
        <v>72</v>
      </c>
      <c r="D1360" t="s">
        <v>154</v>
      </c>
      <c r="E1360">
        <v>479</v>
      </c>
      <c r="F1360" t="b">
        <v>1</v>
      </c>
      <c r="G1360" t="str">
        <f>HYPERLINK("https://www.google.com/maps/search/?api=1&amp;query=24.7850055,46.56633954", "View Map")</f>
        <v>View Map</v>
      </c>
    </row>
    <row r="1361" spans="1:7" x14ac:dyDescent="0.3">
      <c r="A1361" t="s">
        <v>2275</v>
      </c>
      <c r="B1361" t="s">
        <v>2276</v>
      </c>
      <c r="C1361" t="s">
        <v>9</v>
      </c>
      <c r="D1361" t="s">
        <v>154</v>
      </c>
      <c r="E1361">
        <v>479</v>
      </c>
      <c r="F1361" t="b">
        <v>1</v>
      </c>
      <c r="G1361" t="str">
        <f>HYPERLINK("https://www.google.com/maps/search/?api=1&amp;query=24.69013529,46.78902388", "View Map")</f>
        <v>View Map</v>
      </c>
    </row>
    <row r="1362" spans="1:7" x14ac:dyDescent="0.3">
      <c r="A1362" t="s">
        <v>2277</v>
      </c>
      <c r="B1362" t="s">
        <v>2278</v>
      </c>
      <c r="C1362" t="s">
        <v>9</v>
      </c>
      <c r="D1362" t="s">
        <v>154</v>
      </c>
      <c r="E1362">
        <v>479</v>
      </c>
      <c r="F1362" t="b">
        <v>1</v>
      </c>
      <c r="G1362" t="str">
        <f>HYPERLINK("https://www.google.com/maps/search/?api=1&amp;query=24.66192178,46.79476876", "View Map")</f>
        <v>View Map</v>
      </c>
    </row>
    <row r="1363" spans="1:7" x14ac:dyDescent="0.3">
      <c r="A1363" t="s">
        <v>2279</v>
      </c>
      <c r="B1363" t="s">
        <v>2280</v>
      </c>
      <c r="C1363" t="s">
        <v>9</v>
      </c>
      <c r="D1363" t="s">
        <v>154</v>
      </c>
      <c r="E1363">
        <v>478</v>
      </c>
      <c r="F1363" t="b">
        <v>1</v>
      </c>
      <c r="G1363" t="str">
        <f>HYPERLINK("https://www.google.com/maps/search/?api=1&amp;query=24.57175114,46.66794553", "View Map")</f>
        <v>View Map</v>
      </c>
    </row>
    <row r="1364" spans="1:7" x14ac:dyDescent="0.3">
      <c r="A1364" t="s">
        <v>2281</v>
      </c>
      <c r="B1364" t="s">
        <v>2282</v>
      </c>
      <c r="C1364" t="s">
        <v>9</v>
      </c>
      <c r="D1364" t="s">
        <v>154</v>
      </c>
      <c r="E1364">
        <v>478</v>
      </c>
      <c r="F1364" t="b">
        <v>1</v>
      </c>
      <c r="G1364" t="str">
        <f>HYPERLINK("https://www.google.com/maps/search/?api=1&amp;query=24.54583695,46.73072358", "View Map")</f>
        <v>View Map</v>
      </c>
    </row>
    <row r="1365" spans="1:7" x14ac:dyDescent="0.3">
      <c r="A1365" t="s">
        <v>27</v>
      </c>
      <c r="B1365" t="s">
        <v>2283</v>
      </c>
      <c r="C1365" t="s">
        <v>9</v>
      </c>
      <c r="D1365" t="s">
        <v>154</v>
      </c>
      <c r="E1365">
        <v>478</v>
      </c>
      <c r="F1365" t="b">
        <v>1</v>
      </c>
      <c r="G1365" t="str">
        <f>HYPERLINK("https://www.google.com/maps/search/?api=1&amp;query=24.92525789,46.82341566", "View Map")</f>
        <v>View Map</v>
      </c>
    </row>
    <row r="1366" spans="1:7" x14ac:dyDescent="0.3">
      <c r="A1366" t="s">
        <v>2284</v>
      </c>
      <c r="B1366" t="s">
        <v>2285</v>
      </c>
      <c r="C1366" t="s">
        <v>9</v>
      </c>
      <c r="D1366" t="s">
        <v>154</v>
      </c>
      <c r="E1366">
        <v>477</v>
      </c>
      <c r="F1366" t="b">
        <v>1</v>
      </c>
      <c r="G1366" t="str">
        <f>HYPERLINK("https://www.google.com/maps/search/?api=1&amp;query=24.63588831,46.71842114", "View Map")</f>
        <v>View Map</v>
      </c>
    </row>
    <row r="1367" spans="1:7" x14ac:dyDescent="0.3">
      <c r="A1367" t="s">
        <v>2286</v>
      </c>
      <c r="B1367" t="s">
        <v>2287</v>
      </c>
      <c r="C1367" t="s">
        <v>9</v>
      </c>
      <c r="D1367" t="s">
        <v>154</v>
      </c>
      <c r="E1367">
        <v>477</v>
      </c>
      <c r="F1367" t="b">
        <v>1</v>
      </c>
      <c r="G1367" t="str">
        <f>HYPERLINK("https://www.google.com/maps/search/?api=1&amp;query=24.60648419,46.65019651", "View Map")</f>
        <v>View Map</v>
      </c>
    </row>
    <row r="1368" spans="1:7" x14ac:dyDescent="0.3">
      <c r="A1368" t="s">
        <v>2288</v>
      </c>
      <c r="B1368" t="s">
        <v>2289</v>
      </c>
      <c r="C1368" t="s">
        <v>9</v>
      </c>
      <c r="D1368" t="s">
        <v>154</v>
      </c>
      <c r="E1368">
        <v>476</v>
      </c>
      <c r="F1368" t="b">
        <v>1</v>
      </c>
      <c r="G1368" t="str">
        <f>HYPERLINK("https://www.google.com/maps/search/?api=1&amp;query=24.53802594,46.64991827", "View Map")</f>
        <v>View Map</v>
      </c>
    </row>
    <row r="1369" spans="1:7" x14ac:dyDescent="0.3">
      <c r="A1369" t="s">
        <v>415</v>
      </c>
      <c r="B1369" t="s">
        <v>2290</v>
      </c>
      <c r="C1369" t="s">
        <v>9</v>
      </c>
      <c r="D1369" t="s">
        <v>154</v>
      </c>
      <c r="E1369">
        <v>476</v>
      </c>
      <c r="F1369" t="b">
        <v>0</v>
      </c>
      <c r="G1369" t="str">
        <f>HYPERLINK("https://www.google.com/maps/search/?api=1&amp;query=24.79755522,46.78648869", "View Map")</f>
        <v>View Map</v>
      </c>
    </row>
    <row r="1370" spans="1:7" x14ac:dyDescent="0.3">
      <c r="A1370" t="s">
        <v>2291</v>
      </c>
      <c r="B1370" t="s">
        <v>2292</v>
      </c>
      <c r="C1370" t="s">
        <v>9</v>
      </c>
      <c r="D1370" t="s">
        <v>154</v>
      </c>
      <c r="E1370">
        <v>476</v>
      </c>
      <c r="F1370" t="b">
        <v>1</v>
      </c>
      <c r="G1370" t="str">
        <f>HYPERLINK("https://www.google.com/maps/search/?api=1&amp;query=24.60057902,46.67514172", "View Map")</f>
        <v>View Map</v>
      </c>
    </row>
    <row r="1371" spans="1:7" x14ac:dyDescent="0.3">
      <c r="A1371" t="s">
        <v>2293</v>
      </c>
      <c r="B1371" t="s">
        <v>2294</v>
      </c>
      <c r="C1371" t="s">
        <v>9</v>
      </c>
      <c r="D1371" t="s">
        <v>154</v>
      </c>
      <c r="E1371">
        <v>476</v>
      </c>
      <c r="F1371" t="b">
        <v>1</v>
      </c>
      <c r="G1371" t="str">
        <f>HYPERLINK("https://www.google.com/maps/search/?api=1&amp;query=24.74905368,46.62230801", "View Map")</f>
        <v>View Map</v>
      </c>
    </row>
    <row r="1372" spans="1:7" x14ac:dyDescent="0.3">
      <c r="A1372" t="s">
        <v>2295</v>
      </c>
      <c r="B1372" t="s">
        <v>2296</v>
      </c>
      <c r="C1372" t="s">
        <v>9</v>
      </c>
      <c r="D1372" t="s">
        <v>154</v>
      </c>
      <c r="E1372">
        <v>475</v>
      </c>
      <c r="F1372" t="b">
        <v>1</v>
      </c>
      <c r="G1372" t="str">
        <f>HYPERLINK("https://www.google.com/maps/search/?api=1&amp;query=24.68129367,46.80878535", "View Map")</f>
        <v>View Map</v>
      </c>
    </row>
    <row r="1373" spans="1:7" x14ac:dyDescent="0.3">
      <c r="A1373" t="s">
        <v>2297</v>
      </c>
      <c r="B1373" t="s">
        <v>2298</v>
      </c>
      <c r="C1373" t="s">
        <v>9</v>
      </c>
      <c r="D1373" t="s">
        <v>154</v>
      </c>
      <c r="E1373">
        <v>475</v>
      </c>
      <c r="F1373" t="b">
        <v>1</v>
      </c>
      <c r="G1373" t="str">
        <f>HYPERLINK("https://www.google.com/maps/search/?api=1&amp;query=24.71129111,46.60995882", "View Map")</f>
        <v>View Map</v>
      </c>
    </row>
    <row r="1374" spans="1:7" x14ac:dyDescent="0.3">
      <c r="A1374" t="s">
        <v>2299</v>
      </c>
      <c r="B1374" t="s">
        <v>2300</v>
      </c>
      <c r="C1374" t="s">
        <v>9</v>
      </c>
      <c r="D1374" t="s">
        <v>154</v>
      </c>
      <c r="E1374">
        <v>475</v>
      </c>
      <c r="F1374" t="b">
        <v>1</v>
      </c>
      <c r="G1374" t="str">
        <f>HYPERLINK("https://www.google.com/maps/search/?api=1&amp;query=24.65714737,46.70770269", "View Map")</f>
        <v>View Map</v>
      </c>
    </row>
    <row r="1375" spans="1:7" x14ac:dyDescent="0.3">
      <c r="A1375" t="s">
        <v>937</v>
      </c>
      <c r="B1375" t="s">
        <v>2301</v>
      </c>
      <c r="C1375" t="s">
        <v>9</v>
      </c>
      <c r="D1375" t="s">
        <v>154</v>
      </c>
      <c r="E1375">
        <v>475</v>
      </c>
      <c r="F1375" t="b">
        <v>1</v>
      </c>
      <c r="G1375" t="str">
        <f>HYPERLINK("https://www.google.com/maps/search/?api=1&amp;query=24.75101427,46.80759035", "View Map")</f>
        <v>View Map</v>
      </c>
    </row>
    <row r="1376" spans="1:7" x14ac:dyDescent="0.3">
      <c r="A1376" t="s">
        <v>2302</v>
      </c>
      <c r="B1376" t="s">
        <v>2303</v>
      </c>
      <c r="C1376" t="s">
        <v>9</v>
      </c>
      <c r="D1376" t="s">
        <v>154</v>
      </c>
      <c r="E1376">
        <v>475</v>
      </c>
      <c r="F1376" t="b">
        <v>1</v>
      </c>
      <c r="G1376" t="str">
        <f>HYPERLINK("https://www.google.com/maps/search/?api=1&amp;query=24.67272393,46.79185437", "View Map")</f>
        <v>View Map</v>
      </c>
    </row>
    <row r="1377" spans="1:7" x14ac:dyDescent="0.3">
      <c r="A1377" t="s">
        <v>2304</v>
      </c>
      <c r="B1377" t="s">
        <v>2305</v>
      </c>
      <c r="C1377" t="s">
        <v>9</v>
      </c>
      <c r="D1377" t="s">
        <v>154</v>
      </c>
      <c r="E1377">
        <v>475</v>
      </c>
      <c r="F1377" t="b">
        <v>1</v>
      </c>
      <c r="G1377" t="str">
        <f>HYPERLINK("https://www.google.com/maps/search/?api=1&amp;query=24.55900659,46.68057761", "View Map")</f>
        <v>View Map</v>
      </c>
    </row>
    <row r="1378" spans="1:7" x14ac:dyDescent="0.3">
      <c r="A1378" t="s">
        <v>27</v>
      </c>
      <c r="B1378" t="s">
        <v>2306</v>
      </c>
      <c r="C1378" t="s">
        <v>9</v>
      </c>
      <c r="D1378" t="s">
        <v>154</v>
      </c>
      <c r="E1378">
        <v>474</v>
      </c>
      <c r="F1378" t="b">
        <v>1</v>
      </c>
      <c r="G1378" t="str">
        <f>HYPERLINK("https://www.google.com/maps/search/?api=1&amp;query=24.81262518,46.59295891", "View Map")</f>
        <v>View Map</v>
      </c>
    </row>
    <row r="1379" spans="1:7" x14ac:dyDescent="0.3">
      <c r="A1379" t="s">
        <v>2307</v>
      </c>
      <c r="B1379" t="s">
        <v>2308</v>
      </c>
      <c r="C1379" t="s">
        <v>9</v>
      </c>
      <c r="D1379" t="s">
        <v>154</v>
      </c>
      <c r="E1379">
        <v>474</v>
      </c>
      <c r="F1379" t="b">
        <v>1</v>
      </c>
      <c r="G1379" t="str">
        <f>HYPERLINK("https://www.google.com/maps/search/?api=1&amp;query=24.71532518,46.83074209", "View Map")</f>
        <v>View Map</v>
      </c>
    </row>
    <row r="1380" spans="1:7" x14ac:dyDescent="0.3">
      <c r="A1380" t="s">
        <v>159</v>
      </c>
      <c r="B1380" t="s">
        <v>2309</v>
      </c>
      <c r="C1380" t="s">
        <v>9</v>
      </c>
      <c r="D1380" t="s">
        <v>154</v>
      </c>
      <c r="E1380">
        <v>474</v>
      </c>
      <c r="F1380" t="b">
        <v>1</v>
      </c>
      <c r="G1380" t="str">
        <f>HYPERLINK("https://www.google.com/maps/search/?api=1&amp;query=24.6159935,46.71311427", "View Map")</f>
        <v>View Map</v>
      </c>
    </row>
    <row r="1381" spans="1:7" x14ac:dyDescent="0.3">
      <c r="A1381" t="s">
        <v>2310</v>
      </c>
      <c r="B1381" t="s">
        <v>2311</v>
      </c>
      <c r="C1381" t="s">
        <v>9</v>
      </c>
      <c r="D1381" t="s">
        <v>154</v>
      </c>
      <c r="E1381">
        <v>474</v>
      </c>
      <c r="F1381" t="b">
        <v>1</v>
      </c>
      <c r="G1381" t="str">
        <f>HYPERLINK("https://www.google.com/maps/search/?api=1&amp;query=24.66839484,46.72540828", "View Map")</f>
        <v>View Map</v>
      </c>
    </row>
    <row r="1382" spans="1:7" x14ac:dyDescent="0.3">
      <c r="A1382" t="s">
        <v>2312</v>
      </c>
      <c r="B1382" t="s">
        <v>2313</v>
      </c>
      <c r="C1382" t="s">
        <v>9</v>
      </c>
      <c r="D1382" t="s">
        <v>154</v>
      </c>
      <c r="E1382">
        <v>474</v>
      </c>
      <c r="F1382" t="b">
        <v>1</v>
      </c>
      <c r="G1382" t="str">
        <f>HYPERLINK("https://www.google.com/maps/search/?api=1&amp;query=24.55190546,46.65689037", "View Map")</f>
        <v>View Map</v>
      </c>
    </row>
    <row r="1383" spans="1:7" x14ac:dyDescent="0.3">
      <c r="A1383" t="s">
        <v>226</v>
      </c>
      <c r="B1383" t="s">
        <v>2314</v>
      </c>
      <c r="C1383" t="s">
        <v>9</v>
      </c>
      <c r="D1383" t="s">
        <v>154</v>
      </c>
      <c r="E1383">
        <v>474</v>
      </c>
      <c r="F1383" t="b">
        <v>1</v>
      </c>
      <c r="G1383" t="str">
        <f>HYPERLINK("https://www.google.com/maps/search/?api=1&amp;query=24.75252973,46.78885689", "View Map")</f>
        <v>View Map</v>
      </c>
    </row>
    <row r="1384" spans="1:7" x14ac:dyDescent="0.3">
      <c r="A1384" t="s">
        <v>159</v>
      </c>
      <c r="B1384" t="s">
        <v>2315</v>
      </c>
      <c r="C1384" t="s">
        <v>9</v>
      </c>
      <c r="D1384" t="s">
        <v>154</v>
      </c>
      <c r="E1384">
        <v>473</v>
      </c>
      <c r="F1384" t="b">
        <v>0</v>
      </c>
      <c r="G1384" t="str">
        <f>HYPERLINK("https://www.google.com/maps/search/?api=1&amp;query=24.55851379,46.53840205", "View Map")</f>
        <v>View Map</v>
      </c>
    </row>
    <row r="1385" spans="1:7" x14ac:dyDescent="0.3">
      <c r="A1385" t="s">
        <v>2153</v>
      </c>
      <c r="B1385" t="s">
        <v>2316</v>
      </c>
      <c r="C1385" t="s">
        <v>9</v>
      </c>
      <c r="D1385" t="s">
        <v>154</v>
      </c>
      <c r="E1385">
        <v>473</v>
      </c>
      <c r="F1385" t="b">
        <v>1</v>
      </c>
      <c r="G1385" t="str">
        <f>HYPERLINK("https://www.google.com/maps/search/?api=1&amp;query=24.81095782,46.66806303", "View Map")</f>
        <v>View Map</v>
      </c>
    </row>
    <row r="1386" spans="1:7" x14ac:dyDescent="0.3">
      <c r="A1386" t="s">
        <v>2317</v>
      </c>
      <c r="B1386" t="s">
        <v>2318</v>
      </c>
      <c r="C1386" t="s">
        <v>9</v>
      </c>
      <c r="D1386" t="s">
        <v>154</v>
      </c>
      <c r="E1386">
        <v>473</v>
      </c>
      <c r="F1386" t="b">
        <v>1</v>
      </c>
      <c r="G1386" t="str">
        <f>HYPERLINK("https://www.google.com/maps/search/?api=1&amp;query=24.61904927,46.71494535", "View Map")</f>
        <v>View Map</v>
      </c>
    </row>
    <row r="1387" spans="1:7" x14ac:dyDescent="0.3">
      <c r="A1387" t="s">
        <v>2319</v>
      </c>
      <c r="B1387" t="s">
        <v>2320</v>
      </c>
      <c r="C1387" t="s">
        <v>9</v>
      </c>
      <c r="D1387" t="s">
        <v>154</v>
      </c>
      <c r="E1387">
        <v>473</v>
      </c>
      <c r="F1387" t="b">
        <v>1</v>
      </c>
      <c r="G1387" t="str">
        <f>HYPERLINK("https://www.google.com/maps/search/?api=1&amp;query=24.81930483,46.79105116", "View Map")</f>
        <v>View Map</v>
      </c>
    </row>
    <row r="1388" spans="1:7" x14ac:dyDescent="0.3">
      <c r="A1388" t="s">
        <v>390</v>
      </c>
      <c r="B1388" t="s">
        <v>2321</v>
      </c>
      <c r="C1388" t="s">
        <v>9</v>
      </c>
      <c r="D1388" t="s">
        <v>154</v>
      </c>
      <c r="E1388">
        <v>472</v>
      </c>
      <c r="F1388" t="b">
        <v>1</v>
      </c>
      <c r="G1388" t="str">
        <f>HYPERLINK("https://www.google.com/maps/search/?api=1&amp;query=24.86124226,46.64060644", "View Map")</f>
        <v>View Map</v>
      </c>
    </row>
    <row r="1389" spans="1:7" x14ac:dyDescent="0.3">
      <c r="A1389" t="s">
        <v>2322</v>
      </c>
      <c r="B1389" t="s">
        <v>2323</v>
      </c>
      <c r="C1389" t="s">
        <v>9</v>
      </c>
      <c r="D1389" t="s">
        <v>154</v>
      </c>
      <c r="E1389">
        <v>472</v>
      </c>
      <c r="F1389" t="b">
        <v>1</v>
      </c>
      <c r="G1389" t="str">
        <f>HYPERLINK("https://www.google.com/maps/search/?api=1&amp;query=24.58322854,46.62525201", "View Map")</f>
        <v>View Map</v>
      </c>
    </row>
    <row r="1390" spans="1:7" x14ac:dyDescent="0.3">
      <c r="A1390" t="s">
        <v>194</v>
      </c>
      <c r="B1390" t="s">
        <v>2324</v>
      </c>
      <c r="C1390" t="s">
        <v>9</v>
      </c>
      <c r="D1390" t="s">
        <v>154</v>
      </c>
      <c r="E1390">
        <v>472</v>
      </c>
      <c r="F1390" t="b">
        <v>1</v>
      </c>
      <c r="G1390" t="str">
        <f>HYPERLINK("https://www.google.com/maps/search/?api=1&amp;query=24.73413149,46.60833084", "View Map")</f>
        <v>View Map</v>
      </c>
    </row>
    <row r="1391" spans="1:7" x14ac:dyDescent="0.3">
      <c r="A1391" t="s">
        <v>2325</v>
      </c>
      <c r="B1391" t="s">
        <v>2326</v>
      </c>
      <c r="C1391" t="s">
        <v>9</v>
      </c>
      <c r="D1391" t="s">
        <v>154</v>
      </c>
      <c r="E1391">
        <v>472</v>
      </c>
      <c r="F1391" t="b">
        <v>1</v>
      </c>
      <c r="G1391" t="str">
        <f>HYPERLINK("https://www.google.com/maps/search/?api=1&amp;query=24.63428583,46.74105194", "View Map")</f>
        <v>View Map</v>
      </c>
    </row>
    <row r="1392" spans="1:7" x14ac:dyDescent="0.3">
      <c r="A1392" t="s">
        <v>2327</v>
      </c>
      <c r="B1392" t="s">
        <v>2328</v>
      </c>
      <c r="C1392" t="s">
        <v>9</v>
      </c>
      <c r="D1392" t="s">
        <v>154</v>
      </c>
      <c r="E1392">
        <v>471</v>
      </c>
      <c r="F1392" t="b">
        <v>1</v>
      </c>
      <c r="G1392" t="str">
        <f>HYPERLINK("https://www.google.com/maps/search/?api=1&amp;query=24.76601997,46.75354432", "View Map")</f>
        <v>View Map</v>
      </c>
    </row>
    <row r="1393" spans="1:7" x14ac:dyDescent="0.3">
      <c r="A1393" t="s">
        <v>2329</v>
      </c>
      <c r="B1393" t="s">
        <v>2330</v>
      </c>
      <c r="C1393" t="s">
        <v>9</v>
      </c>
      <c r="D1393" t="s">
        <v>154</v>
      </c>
      <c r="E1393">
        <v>471</v>
      </c>
      <c r="F1393" t="b">
        <v>1</v>
      </c>
      <c r="G1393" t="str">
        <f>HYPERLINK("https://www.google.com/maps/search/?api=1&amp;query=24.58634703,46.67322838", "View Map")</f>
        <v>View Map</v>
      </c>
    </row>
    <row r="1394" spans="1:7" x14ac:dyDescent="0.3">
      <c r="A1394" t="s">
        <v>159</v>
      </c>
      <c r="B1394" t="s">
        <v>2331</v>
      </c>
      <c r="C1394" t="s">
        <v>9</v>
      </c>
      <c r="D1394" t="s">
        <v>154</v>
      </c>
      <c r="E1394">
        <v>470</v>
      </c>
      <c r="F1394" t="b">
        <v>1</v>
      </c>
      <c r="G1394" t="str">
        <f>HYPERLINK("https://www.google.com/maps/search/?api=1&amp;query=24.55574042,46.53210576", "View Map")</f>
        <v>View Map</v>
      </c>
    </row>
    <row r="1395" spans="1:7" x14ac:dyDescent="0.3">
      <c r="A1395" t="s">
        <v>2332</v>
      </c>
      <c r="B1395" t="s">
        <v>2333</v>
      </c>
      <c r="C1395" t="s">
        <v>9</v>
      </c>
      <c r="D1395" t="s">
        <v>154</v>
      </c>
      <c r="E1395">
        <v>470</v>
      </c>
      <c r="F1395" t="b">
        <v>1</v>
      </c>
      <c r="G1395" t="str">
        <f>HYPERLINK("https://www.google.com/maps/search/?api=1&amp;query=24.76765253,46.74998904", "View Map")</f>
        <v>View Map</v>
      </c>
    </row>
    <row r="1396" spans="1:7" x14ac:dyDescent="0.3">
      <c r="A1396" t="s">
        <v>2334</v>
      </c>
      <c r="B1396" t="s">
        <v>2335</v>
      </c>
      <c r="C1396" t="s">
        <v>9</v>
      </c>
      <c r="D1396" t="s">
        <v>154</v>
      </c>
      <c r="E1396">
        <v>469</v>
      </c>
      <c r="F1396" t="b">
        <v>1</v>
      </c>
      <c r="G1396" t="str">
        <f>HYPERLINK("https://www.google.com/maps/search/?api=1&amp;query=24.80313311,46.81063206", "View Map")</f>
        <v>View Map</v>
      </c>
    </row>
    <row r="1397" spans="1:7" x14ac:dyDescent="0.3">
      <c r="A1397" t="s">
        <v>27</v>
      </c>
      <c r="B1397" t="s">
        <v>2336</v>
      </c>
      <c r="C1397" t="s">
        <v>9</v>
      </c>
      <c r="D1397" t="s">
        <v>154</v>
      </c>
      <c r="E1397">
        <v>469</v>
      </c>
      <c r="F1397" t="b">
        <v>1</v>
      </c>
      <c r="G1397" t="str">
        <f>HYPERLINK("https://www.google.com/maps/search/?api=1&amp;query=24.83275164,46.74648465", "View Map")</f>
        <v>View Map</v>
      </c>
    </row>
    <row r="1398" spans="1:7" x14ac:dyDescent="0.3">
      <c r="A1398" t="s">
        <v>2337</v>
      </c>
      <c r="B1398" t="s">
        <v>2338</v>
      </c>
      <c r="C1398" t="s">
        <v>9</v>
      </c>
      <c r="D1398" t="s">
        <v>154</v>
      </c>
      <c r="E1398">
        <v>469</v>
      </c>
      <c r="F1398" t="b">
        <v>1</v>
      </c>
      <c r="G1398" t="str">
        <f>HYPERLINK("https://www.google.com/maps/search/?api=1&amp;query=24.81733812,46.88340268", "View Map")</f>
        <v>View Map</v>
      </c>
    </row>
    <row r="1399" spans="1:7" x14ac:dyDescent="0.3">
      <c r="A1399" t="s">
        <v>2339</v>
      </c>
      <c r="B1399" t="s">
        <v>2340</v>
      </c>
      <c r="C1399" t="s">
        <v>9</v>
      </c>
      <c r="D1399" t="s">
        <v>154</v>
      </c>
      <c r="E1399">
        <v>469</v>
      </c>
      <c r="F1399" t="b">
        <v>1</v>
      </c>
      <c r="G1399" t="str">
        <f>HYPERLINK("https://www.google.com/maps/search/?api=1&amp;query=24.80039563,46.80001072", "View Map")</f>
        <v>View Map</v>
      </c>
    </row>
    <row r="1400" spans="1:7" x14ac:dyDescent="0.3">
      <c r="A1400" t="s">
        <v>2341</v>
      </c>
      <c r="B1400" t="s">
        <v>2342</v>
      </c>
      <c r="C1400" t="s">
        <v>9</v>
      </c>
      <c r="D1400" t="s">
        <v>154</v>
      </c>
      <c r="E1400">
        <v>469</v>
      </c>
      <c r="F1400" t="b">
        <v>1</v>
      </c>
      <c r="G1400" t="str">
        <f>HYPERLINK("https://www.google.com/maps/search/?api=1&amp;query=24.76834081,46.69345578", "View Map")</f>
        <v>View Map</v>
      </c>
    </row>
    <row r="1401" spans="1:7" x14ac:dyDescent="0.3">
      <c r="A1401" t="s">
        <v>27</v>
      </c>
      <c r="B1401" t="s">
        <v>2343</v>
      </c>
      <c r="C1401" t="s">
        <v>9</v>
      </c>
      <c r="D1401" t="s">
        <v>154</v>
      </c>
      <c r="E1401">
        <v>469</v>
      </c>
      <c r="F1401" t="b">
        <v>1</v>
      </c>
      <c r="G1401" t="str">
        <f>HYPERLINK("https://www.google.com/maps/search/?api=1&amp;query=24.80385421,46.68183238", "View Map")</f>
        <v>View Map</v>
      </c>
    </row>
    <row r="1402" spans="1:7" x14ac:dyDescent="0.3">
      <c r="A1402" t="s">
        <v>2344</v>
      </c>
      <c r="B1402" t="s">
        <v>2345</v>
      </c>
      <c r="C1402" t="s">
        <v>9</v>
      </c>
      <c r="D1402" t="s">
        <v>154</v>
      </c>
      <c r="E1402">
        <v>468</v>
      </c>
      <c r="F1402" t="b">
        <v>1</v>
      </c>
      <c r="G1402" t="str">
        <f>HYPERLINK("https://www.google.com/maps/search/?api=1&amp;query=24.710044,46.61807074", "View Map")</f>
        <v>View Map</v>
      </c>
    </row>
    <row r="1403" spans="1:7" x14ac:dyDescent="0.3">
      <c r="A1403" t="s">
        <v>1113</v>
      </c>
      <c r="B1403" t="s">
        <v>2346</v>
      </c>
      <c r="C1403" t="s">
        <v>9</v>
      </c>
      <c r="D1403" t="s">
        <v>154</v>
      </c>
      <c r="E1403">
        <v>468</v>
      </c>
      <c r="F1403" t="b">
        <v>1</v>
      </c>
      <c r="G1403" t="str">
        <f>HYPERLINK("https://www.google.com/maps/search/?api=1&amp;query=24.81721596,46.6321024", "View Map")</f>
        <v>View Map</v>
      </c>
    </row>
    <row r="1404" spans="1:7" x14ac:dyDescent="0.3">
      <c r="A1404" t="s">
        <v>2347</v>
      </c>
      <c r="B1404" t="s">
        <v>2348</v>
      </c>
      <c r="C1404" t="s">
        <v>9</v>
      </c>
      <c r="D1404" t="s">
        <v>154</v>
      </c>
      <c r="E1404">
        <v>468</v>
      </c>
      <c r="F1404" t="b">
        <v>0</v>
      </c>
      <c r="G1404" t="str">
        <f>HYPERLINK("https://www.google.com/maps/search/?api=1&amp;query=24.54029403,46.71653133", "View Map")</f>
        <v>View Map</v>
      </c>
    </row>
    <row r="1405" spans="1:7" x14ac:dyDescent="0.3">
      <c r="A1405" t="s">
        <v>2349</v>
      </c>
      <c r="B1405" t="s">
        <v>2350</v>
      </c>
      <c r="C1405" t="s">
        <v>9</v>
      </c>
      <c r="D1405" t="s">
        <v>154</v>
      </c>
      <c r="E1405">
        <v>467</v>
      </c>
      <c r="F1405" t="b">
        <v>1</v>
      </c>
      <c r="G1405" t="str">
        <f>HYPERLINK("https://www.google.com/maps/search/?api=1&amp;query=24.82343327,46.66038619", "View Map")</f>
        <v>View Map</v>
      </c>
    </row>
    <row r="1406" spans="1:7" x14ac:dyDescent="0.3">
      <c r="A1406" t="s">
        <v>19</v>
      </c>
      <c r="B1406" t="s">
        <v>2351</v>
      </c>
      <c r="C1406" t="s">
        <v>9</v>
      </c>
      <c r="D1406" t="s">
        <v>154</v>
      </c>
      <c r="E1406">
        <v>467</v>
      </c>
      <c r="F1406" t="b">
        <v>1</v>
      </c>
      <c r="G1406" t="str">
        <f>HYPERLINK("https://www.google.com/maps/search/?api=1&amp;query=24.64229549,46.55349158", "View Map")</f>
        <v>View Map</v>
      </c>
    </row>
    <row r="1407" spans="1:7" x14ac:dyDescent="0.3">
      <c r="A1407" t="s">
        <v>27</v>
      </c>
      <c r="B1407" t="s">
        <v>2352</v>
      </c>
      <c r="C1407" t="s">
        <v>9</v>
      </c>
      <c r="D1407" t="s">
        <v>154</v>
      </c>
      <c r="E1407">
        <v>467</v>
      </c>
      <c r="F1407" t="b">
        <v>1</v>
      </c>
      <c r="G1407" t="str">
        <f>HYPERLINK("https://www.google.com/maps/search/?api=1&amp;query=24.80897062,46.82532211", "View Map")</f>
        <v>View Map</v>
      </c>
    </row>
    <row r="1408" spans="1:7" x14ac:dyDescent="0.3">
      <c r="A1408" t="s">
        <v>2353</v>
      </c>
      <c r="B1408" t="s">
        <v>2354</v>
      </c>
      <c r="C1408" t="s">
        <v>9</v>
      </c>
      <c r="D1408" t="s">
        <v>154</v>
      </c>
      <c r="E1408">
        <v>467</v>
      </c>
      <c r="F1408" t="b">
        <v>1</v>
      </c>
      <c r="G1408" t="str">
        <f>HYPERLINK("https://www.google.com/maps/search/?api=1&amp;query=24.60208314,46.76333598", "View Map")</f>
        <v>View Map</v>
      </c>
    </row>
    <row r="1409" spans="1:7" x14ac:dyDescent="0.3">
      <c r="A1409" t="s">
        <v>2355</v>
      </c>
      <c r="B1409" t="s">
        <v>2356</v>
      </c>
      <c r="C1409" t="s">
        <v>9</v>
      </c>
      <c r="D1409" t="s">
        <v>154</v>
      </c>
      <c r="E1409">
        <v>467</v>
      </c>
      <c r="F1409" t="b">
        <v>1</v>
      </c>
      <c r="G1409" t="str">
        <f>HYPERLINK("https://www.google.com/maps/search/?api=1&amp;query=24.65552959,46.58225583", "View Map")</f>
        <v>View Map</v>
      </c>
    </row>
    <row r="1410" spans="1:7" x14ac:dyDescent="0.3">
      <c r="A1410" t="s">
        <v>27</v>
      </c>
      <c r="B1410" t="s">
        <v>2357</v>
      </c>
      <c r="C1410" t="s">
        <v>9</v>
      </c>
      <c r="D1410" t="s">
        <v>154</v>
      </c>
      <c r="E1410">
        <v>466</v>
      </c>
      <c r="F1410" t="b">
        <v>1</v>
      </c>
      <c r="G1410" t="str">
        <f>HYPERLINK("https://www.google.com/maps/search/?api=1&amp;query=24.64358021,46.49496995", "View Map")</f>
        <v>View Map</v>
      </c>
    </row>
    <row r="1411" spans="1:7" x14ac:dyDescent="0.3">
      <c r="A1411" t="s">
        <v>2358</v>
      </c>
      <c r="B1411" t="s">
        <v>2359</v>
      </c>
      <c r="C1411" t="s">
        <v>9</v>
      </c>
      <c r="D1411" t="s">
        <v>154</v>
      </c>
      <c r="E1411">
        <v>466</v>
      </c>
      <c r="F1411" t="b">
        <v>1</v>
      </c>
      <c r="G1411" t="str">
        <f>HYPERLINK("https://www.google.com/maps/search/?api=1&amp;query=24.79833816,46.70643161", "View Map")</f>
        <v>View Map</v>
      </c>
    </row>
    <row r="1412" spans="1:7" x14ac:dyDescent="0.3">
      <c r="A1412" t="s">
        <v>2360</v>
      </c>
      <c r="B1412" t="s">
        <v>2361</v>
      </c>
      <c r="C1412" t="s">
        <v>9</v>
      </c>
      <c r="D1412" t="s">
        <v>154</v>
      </c>
      <c r="E1412">
        <v>466</v>
      </c>
      <c r="F1412" t="b">
        <v>1</v>
      </c>
      <c r="G1412" t="str">
        <f>HYPERLINK("https://www.google.com/maps/search/?api=1&amp;query=24.77070675,46.71048516", "View Map")</f>
        <v>View Map</v>
      </c>
    </row>
    <row r="1413" spans="1:7" x14ac:dyDescent="0.3">
      <c r="A1413" t="s">
        <v>954</v>
      </c>
      <c r="B1413" t="s">
        <v>2362</v>
      </c>
      <c r="C1413" t="s">
        <v>9</v>
      </c>
      <c r="D1413" t="s">
        <v>154</v>
      </c>
      <c r="E1413">
        <v>466</v>
      </c>
      <c r="F1413" t="b">
        <v>1</v>
      </c>
      <c r="G1413" t="str">
        <f>HYPERLINK("https://www.google.com/maps/search/?api=1&amp;query=24.57975637,46.57967382", "View Map")</f>
        <v>View Map</v>
      </c>
    </row>
    <row r="1414" spans="1:7" x14ac:dyDescent="0.3">
      <c r="A1414" t="s">
        <v>661</v>
      </c>
      <c r="B1414" t="s">
        <v>2363</v>
      </c>
      <c r="C1414" t="s">
        <v>9</v>
      </c>
      <c r="D1414" t="s">
        <v>154</v>
      </c>
      <c r="E1414">
        <v>466</v>
      </c>
      <c r="F1414" t="b">
        <v>1</v>
      </c>
      <c r="G1414" t="str">
        <f>HYPERLINK("https://www.google.com/maps/search/?api=1&amp;query=24.54554412,46.71511112", "View Map")</f>
        <v>View Map</v>
      </c>
    </row>
    <row r="1415" spans="1:7" x14ac:dyDescent="0.3">
      <c r="A1415" t="s">
        <v>194</v>
      </c>
      <c r="B1415" t="s">
        <v>2364</v>
      </c>
      <c r="C1415" t="s">
        <v>9</v>
      </c>
      <c r="D1415" t="s">
        <v>154</v>
      </c>
      <c r="E1415">
        <v>465</v>
      </c>
      <c r="F1415" t="b">
        <v>0</v>
      </c>
      <c r="G1415" t="str">
        <f>HYPERLINK("https://www.google.com/maps/search/?api=1&amp;query=24.83885086,46.79183085", "View Map")</f>
        <v>View Map</v>
      </c>
    </row>
    <row r="1416" spans="1:7" x14ac:dyDescent="0.3">
      <c r="A1416" t="s">
        <v>2365</v>
      </c>
      <c r="B1416" t="s">
        <v>2366</v>
      </c>
      <c r="C1416" t="s">
        <v>9</v>
      </c>
      <c r="D1416" t="s">
        <v>154</v>
      </c>
      <c r="E1416">
        <v>465</v>
      </c>
      <c r="F1416" t="b">
        <v>1</v>
      </c>
      <c r="G1416" t="str">
        <f>HYPERLINK("https://www.google.com/maps/search/?api=1&amp;query=24.80239133,46.7870053", "View Map")</f>
        <v>View Map</v>
      </c>
    </row>
    <row r="1417" spans="1:7" x14ac:dyDescent="0.3">
      <c r="A1417" t="s">
        <v>2367</v>
      </c>
      <c r="B1417" t="s">
        <v>2368</v>
      </c>
      <c r="C1417" t="s">
        <v>9</v>
      </c>
      <c r="D1417" t="s">
        <v>154</v>
      </c>
      <c r="E1417">
        <v>465</v>
      </c>
      <c r="F1417" t="b">
        <v>1</v>
      </c>
      <c r="G1417" t="str">
        <f>HYPERLINK("https://www.google.com/maps/search/?api=1&amp;query=24.63690242,46.5449221", "View Map")</f>
        <v>View Map</v>
      </c>
    </row>
    <row r="1418" spans="1:7" x14ac:dyDescent="0.3">
      <c r="A1418" t="s">
        <v>2369</v>
      </c>
      <c r="B1418" t="s">
        <v>2370</v>
      </c>
      <c r="C1418" t="s">
        <v>9</v>
      </c>
      <c r="D1418" t="s">
        <v>154</v>
      </c>
      <c r="E1418">
        <v>464</v>
      </c>
      <c r="F1418" t="b">
        <v>1</v>
      </c>
      <c r="G1418" t="str">
        <f>HYPERLINK("https://www.google.com/maps/search/?api=1&amp;query=24.48985023,46.61884721", "View Map")</f>
        <v>View Map</v>
      </c>
    </row>
    <row r="1419" spans="1:7" x14ac:dyDescent="0.3">
      <c r="A1419" t="s">
        <v>2371</v>
      </c>
      <c r="B1419" t="s">
        <v>2372</v>
      </c>
      <c r="C1419" t="s">
        <v>9</v>
      </c>
      <c r="D1419" t="s">
        <v>154</v>
      </c>
      <c r="E1419">
        <v>464</v>
      </c>
      <c r="F1419" t="b">
        <v>1</v>
      </c>
      <c r="G1419" t="str">
        <f>HYPERLINK("https://www.google.com/maps/search/?api=1&amp;query=24.59149671,46.72615141", "View Map")</f>
        <v>View Map</v>
      </c>
    </row>
    <row r="1420" spans="1:7" x14ac:dyDescent="0.3">
      <c r="A1420" t="s">
        <v>2373</v>
      </c>
      <c r="B1420" t="s">
        <v>2374</v>
      </c>
      <c r="C1420" t="s">
        <v>9</v>
      </c>
      <c r="D1420" t="s">
        <v>154</v>
      </c>
      <c r="E1420">
        <v>464</v>
      </c>
      <c r="F1420" t="b">
        <v>1</v>
      </c>
      <c r="G1420" t="str">
        <f>HYPERLINK("https://www.google.com/maps/search/?api=1&amp;query=24.69067085,46.81740514", "View Map")</f>
        <v>View Map</v>
      </c>
    </row>
    <row r="1421" spans="1:7" x14ac:dyDescent="0.3">
      <c r="A1421" t="s">
        <v>2153</v>
      </c>
      <c r="B1421" t="s">
        <v>2375</v>
      </c>
      <c r="C1421" t="s">
        <v>9</v>
      </c>
      <c r="D1421" t="s">
        <v>154</v>
      </c>
      <c r="E1421">
        <v>464</v>
      </c>
      <c r="F1421" t="b">
        <v>1</v>
      </c>
      <c r="G1421" t="str">
        <f>HYPERLINK("https://www.google.com/maps/search/?api=1&amp;query=24.80888281,46.65732768", "View Map")</f>
        <v>View Map</v>
      </c>
    </row>
    <row r="1422" spans="1:7" x14ac:dyDescent="0.3">
      <c r="A1422" t="s">
        <v>2376</v>
      </c>
      <c r="B1422" t="s">
        <v>2377</v>
      </c>
      <c r="C1422" t="s">
        <v>9</v>
      </c>
      <c r="D1422" t="s">
        <v>154</v>
      </c>
      <c r="E1422">
        <v>464</v>
      </c>
      <c r="F1422" t="b">
        <v>1</v>
      </c>
      <c r="G1422" t="str">
        <f>HYPERLINK("https://www.google.com/maps/search/?api=1&amp;query=24.74187,46.61066", "View Map")</f>
        <v>View Map</v>
      </c>
    </row>
    <row r="1423" spans="1:7" x14ac:dyDescent="0.3">
      <c r="A1423" t="s">
        <v>1043</v>
      </c>
      <c r="B1423" t="s">
        <v>2378</v>
      </c>
      <c r="C1423" t="s">
        <v>9</v>
      </c>
      <c r="D1423" t="s">
        <v>154</v>
      </c>
      <c r="E1423">
        <v>463</v>
      </c>
      <c r="F1423" t="b">
        <v>1</v>
      </c>
      <c r="G1423" t="str">
        <f>HYPERLINK("https://www.google.com/maps/search/?api=1&amp;query=24.75870156,46.62421305", "View Map")</f>
        <v>View Map</v>
      </c>
    </row>
    <row r="1424" spans="1:7" x14ac:dyDescent="0.3">
      <c r="A1424" t="s">
        <v>2379</v>
      </c>
      <c r="B1424" t="s">
        <v>2380</v>
      </c>
      <c r="C1424" t="s">
        <v>9</v>
      </c>
      <c r="D1424" t="s">
        <v>154</v>
      </c>
      <c r="E1424">
        <v>463</v>
      </c>
      <c r="F1424" t="b">
        <v>1</v>
      </c>
      <c r="G1424" t="str">
        <f>HYPERLINK("https://www.google.com/maps/search/?api=1&amp;query=24.75260202,46.63650499", "View Map")</f>
        <v>View Map</v>
      </c>
    </row>
    <row r="1425" spans="1:7" x14ac:dyDescent="0.3">
      <c r="A1425" t="s">
        <v>716</v>
      </c>
      <c r="B1425" t="s">
        <v>2381</v>
      </c>
      <c r="C1425" t="s">
        <v>9</v>
      </c>
      <c r="D1425" t="s">
        <v>154</v>
      </c>
      <c r="E1425">
        <v>463</v>
      </c>
      <c r="F1425" t="b">
        <v>1</v>
      </c>
      <c r="G1425" t="str">
        <f>HYPERLINK("https://www.google.com/maps/search/?api=1&amp;query=24.70701599,46.80209152", "View Map")</f>
        <v>View Map</v>
      </c>
    </row>
    <row r="1426" spans="1:7" x14ac:dyDescent="0.3">
      <c r="A1426" t="s">
        <v>252</v>
      </c>
      <c r="B1426" t="s">
        <v>2382</v>
      </c>
      <c r="C1426" t="s">
        <v>9</v>
      </c>
      <c r="D1426" t="s">
        <v>154</v>
      </c>
      <c r="E1426">
        <v>463</v>
      </c>
      <c r="F1426" t="b">
        <v>0</v>
      </c>
      <c r="G1426" t="str">
        <f>HYPERLINK("https://www.google.com/maps/search/?api=1&amp;query=24.77067089,46.61820953", "View Map")</f>
        <v>View Map</v>
      </c>
    </row>
    <row r="1427" spans="1:7" x14ac:dyDescent="0.3">
      <c r="A1427" t="s">
        <v>119</v>
      </c>
      <c r="B1427" t="s">
        <v>2383</v>
      </c>
      <c r="C1427" t="s">
        <v>9</v>
      </c>
      <c r="D1427" t="s">
        <v>154</v>
      </c>
      <c r="E1427">
        <v>462</v>
      </c>
      <c r="F1427" t="b">
        <v>1</v>
      </c>
      <c r="G1427" t="str">
        <f>HYPERLINK("https://www.google.com/maps/search/?api=1&amp;query=24.80712,46.74323", "View Map")</f>
        <v>View Map</v>
      </c>
    </row>
    <row r="1428" spans="1:7" x14ac:dyDescent="0.3">
      <c r="A1428" t="s">
        <v>2384</v>
      </c>
      <c r="B1428" t="s">
        <v>2385</v>
      </c>
      <c r="C1428" t="s">
        <v>9</v>
      </c>
      <c r="D1428" t="s">
        <v>154</v>
      </c>
      <c r="E1428">
        <v>462</v>
      </c>
      <c r="F1428" t="b">
        <v>1</v>
      </c>
      <c r="G1428" t="str">
        <f>HYPERLINK("https://www.google.com/maps/search/?api=1&amp;query=24.6637176,46.80484601", "View Map")</f>
        <v>View Map</v>
      </c>
    </row>
    <row r="1429" spans="1:7" x14ac:dyDescent="0.3">
      <c r="A1429" t="s">
        <v>2386</v>
      </c>
      <c r="B1429" t="s">
        <v>2387</v>
      </c>
      <c r="C1429" t="s">
        <v>9</v>
      </c>
      <c r="D1429" t="s">
        <v>154</v>
      </c>
      <c r="E1429">
        <v>461</v>
      </c>
      <c r="F1429" t="b">
        <v>1</v>
      </c>
      <c r="G1429" t="str">
        <f>HYPERLINK("https://www.google.com/maps/search/?api=1&amp;query=24.65926793,46.62618742", "View Map")</f>
        <v>View Map</v>
      </c>
    </row>
    <row r="1430" spans="1:7" x14ac:dyDescent="0.3">
      <c r="A1430" t="s">
        <v>2388</v>
      </c>
      <c r="B1430" t="s">
        <v>2389</v>
      </c>
      <c r="C1430" t="s">
        <v>72</v>
      </c>
      <c r="D1430" t="s">
        <v>154</v>
      </c>
      <c r="E1430">
        <v>460</v>
      </c>
      <c r="F1430" t="b">
        <v>0</v>
      </c>
      <c r="G1430" t="str">
        <f>HYPERLINK("https://www.google.com/maps/search/?api=1&amp;query=24.75642281,46.55618469", "View Map")</f>
        <v>View Map</v>
      </c>
    </row>
    <row r="1431" spans="1:7" x14ac:dyDescent="0.3">
      <c r="A1431" t="s">
        <v>2390</v>
      </c>
      <c r="B1431" t="s">
        <v>2391</v>
      </c>
      <c r="C1431" t="s">
        <v>9</v>
      </c>
      <c r="D1431" t="s">
        <v>154</v>
      </c>
      <c r="E1431">
        <v>460</v>
      </c>
      <c r="F1431" t="b">
        <v>1</v>
      </c>
      <c r="G1431" t="str">
        <f>HYPERLINK("https://www.google.com/maps/search/?api=1&amp;query=24.77467428,46.65619389", "View Map")</f>
        <v>View Map</v>
      </c>
    </row>
    <row r="1432" spans="1:7" x14ac:dyDescent="0.3">
      <c r="A1432" t="s">
        <v>2392</v>
      </c>
      <c r="B1432" t="s">
        <v>2393</v>
      </c>
      <c r="C1432" t="s">
        <v>9</v>
      </c>
      <c r="D1432" t="s">
        <v>154</v>
      </c>
      <c r="E1432">
        <v>460</v>
      </c>
      <c r="F1432" t="b">
        <v>1</v>
      </c>
      <c r="G1432" t="str">
        <f>HYPERLINK("https://www.google.com/maps/search/?api=1&amp;query=24.62691815,46.54646608", "View Map")</f>
        <v>View Map</v>
      </c>
    </row>
    <row r="1433" spans="1:7" x14ac:dyDescent="0.3">
      <c r="A1433" t="s">
        <v>159</v>
      </c>
      <c r="B1433" t="s">
        <v>2394</v>
      </c>
      <c r="C1433" t="s">
        <v>9</v>
      </c>
      <c r="D1433" t="s">
        <v>154</v>
      </c>
      <c r="E1433">
        <v>460</v>
      </c>
      <c r="F1433" t="b">
        <v>1</v>
      </c>
      <c r="G1433" t="str">
        <f>HYPERLINK("https://www.google.com/maps/search/?api=1&amp;query=24.55363955,46.6674507", "View Map")</f>
        <v>View Map</v>
      </c>
    </row>
    <row r="1434" spans="1:7" x14ac:dyDescent="0.3">
      <c r="A1434" t="s">
        <v>27</v>
      </c>
      <c r="B1434" t="s">
        <v>2395</v>
      </c>
      <c r="C1434" t="s">
        <v>9</v>
      </c>
      <c r="D1434" t="s">
        <v>154</v>
      </c>
      <c r="E1434">
        <v>460</v>
      </c>
      <c r="F1434" t="b">
        <v>1</v>
      </c>
      <c r="G1434" t="str">
        <f>HYPERLINK("https://www.google.com/maps/search/?api=1&amp;query=24.66966,46.55142", "View Map")</f>
        <v>View Map</v>
      </c>
    </row>
    <row r="1435" spans="1:7" x14ac:dyDescent="0.3">
      <c r="A1435" t="s">
        <v>159</v>
      </c>
      <c r="B1435" t="s">
        <v>2396</v>
      </c>
      <c r="C1435" t="s">
        <v>9</v>
      </c>
      <c r="D1435" t="s">
        <v>154</v>
      </c>
      <c r="E1435">
        <v>459</v>
      </c>
      <c r="F1435" t="b">
        <v>1</v>
      </c>
      <c r="G1435" t="str">
        <f>HYPERLINK("https://www.google.com/maps/search/?api=1&amp;query=24.625613,46.697227", "View Map")</f>
        <v>View Map</v>
      </c>
    </row>
    <row r="1436" spans="1:7" x14ac:dyDescent="0.3">
      <c r="A1436" t="s">
        <v>2397</v>
      </c>
      <c r="B1436" t="s">
        <v>2398</v>
      </c>
      <c r="C1436" t="s">
        <v>9</v>
      </c>
      <c r="D1436" t="s">
        <v>154</v>
      </c>
      <c r="E1436">
        <v>459</v>
      </c>
      <c r="F1436" t="b">
        <v>1</v>
      </c>
      <c r="G1436" t="str">
        <f>HYPERLINK("https://www.google.com/maps/search/?api=1&amp;query=24.58369751,46.53002834", "View Map")</f>
        <v>View Map</v>
      </c>
    </row>
    <row r="1437" spans="1:7" x14ac:dyDescent="0.3">
      <c r="A1437" t="s">
        <v>2399</v>
      </c>
      <c r="B1437" t="s">
        <v>2400</v>
      </c>
      <c r="C1437" t="s">
        <v>9</v>
      </c>
      <c r="D1437" t="s">
        <v>154</v>
      </c>
      <c r="E1437">
        <v>459</v>
      </c>
      <c r="F1437" t="b">
        <v>1</v>
      </c>
      <c r="G1437" t="str">
        <f>HYPERLINK("https://www.google.com/maps/search/?api=1&amp;query=24.55258167,46.6535492", "View Map")</f>
        <v>View Map</v>
      </c>
    </row>
    <row r="1438" spans="1:7" x14ac:dyDescent="0.3">
      <c r="A1438" t="s">
        <v>2401</v>
      </c>
      <c r="B1438" t="s">
        <v>2402</v>
      </c>
      <c r="C1438" t="s">
        <v>9</v>
      </c>
      <c r="D1438" t="s">
        <v>154</v>
      </c>
      <c r="E1438">
        <v>458</v>
      </c>
      <c r="F1438" t="b">
        <v>1</v>
      </c>
      <c r="G1438" t="str">
        <f>HYPERLINK("https://www.google.com/maps/search/?api=1&amp;query=24.75305819,46.8368532", "View Map")</f>
        <v>View Map</v>
      </c>
    </row>
    <row r="1439" spans="1:7" x14ac:dyDescent="0.3">
      <c r="A1439" t="s">
        <v>2403</v>
      </c>
      <c r="B1439" t="s">
        <v>2404</v>
      </c>
      <c r="C1439" t="s">
        <v>9</v>
      </c>
      <c r="D1439" t="s">
        <v>154</v>
      </c>
      <c r="E1439">
        <v>458</v>
      </c>
      <c r="F1439" t="b">
        <v>1</v>
      </c>
      <c r="G1439" t="str">
        <f>HYPERLINK("https://www.google.com/maps/search/?api=1&amp;query=24.75820738,46.6703758", "View Map")</f>
        <v>View Map</v>
      </c>
    </row>
    <row r="1440" spans="1:7" x14ac:dyDescent="0.3">
      <c r="A1440" t="s">
        <v>2405</v>
      </c>
      <c r="B1440" t="s">
        <v>2406</v>
      </c>
      <c r="C1440" t="s">
        <v>9</v>
      </c>
      <c r="D1440" t="s">
        <v>154</v>
      </c>
      <c r="E1440">
        <v>458</v>
      </c>
      <c r="F1440" t="b">
        <v>1</v>
      </c>
      <c r="G1440" t="str">
        <f>HYPERLINK("https://www.google.com/maps/search/?api=1&amp;query=24.60263241,46.66814416", "View Map")</f>
        <v>View Map</v>
      </c>
    </row>
    <row r="1441" spans="1:7" x14ac:dyDescent="0.3">
      <c r="A1441" t="s">
        <v>27</v>
      </c>
      <c r="B1441" t="s">
        <v>2407</v>
      </c>
      <c r="C1441" t="s">
        <v>9</v>
      </c>
      <c r="D1441" t="s">
        <v>154</v>
      </c>
      <c r="E1441">
        <v>458</v>
      </c>
      <c r="F1441" t="b">
        <v>0</v>
      </c>
      <c r="G1441" t="str">
        <f>HYPERLINK("https://www.google.com/maps/search/?api=1&amp;query=24.87893936,46.87002482", "View Map")</f>
        <v>View Map</v>
      </c>
    </row>
    <row r="1442" spans="1:7" x14ac:dyDescent="0.3">
      <c r="A1442" t="s">
        <v>2408</v>
      </c>
      <c r="B1442" t="s">
        <v>2409</v>
      </c>
      <c r="C1442" t="s">
        <v>9</v>
      </c>
      <c r="D1442" t="s">
        <v>154</v>
      </c>
      <c r="E1442">
        <v>456</v>
      </c>
      <c r="F1442" t="b">
        <v>1</v>
      </c>
      <c r="G1442" t="str">
        <f>HYPERLINK("https://www.google.com/maps/search/?api=1&amp;query=24.79361874,46.71214831", "View Map")</f>
        <v>View Map</v>
      </c>
    </row>
    <row r="1443" spans="1:7" x14ac:dyDescent="0.3">
      <c r="A1443" t="s">
        <v>27</v>
      </c>
      <c r="B1443" t="s">
        <v>2410</v>
      </c>
      <c r="C1443" t="s">
        <v>9</v>
      </c>
      <c r="D1443" t="s">
        <v>154</v>
      </c>
      <c r="E1443">
        <v>456</v>
      </c>
      <c r="F1443" t="b">
        <v>1</v>
      </c>
      <c r="G1443" t="str">
        <f>HYPERLINK("https://www.google.com/maps/search/?api=1&amp;query=24.6894484,46.84775405", "View Map")</f>
        <v>View Map</v>
      </c>
    </row>
    <row r="1444" spans="1:7" x14ac:dyDescent="0.3">
      <c r="A1444" t="s">
        <v>2411</v>
      </c>
      <c r="B1444" t="s">
        <v>2412</v>
      </c>
      <c r="C1444" t="s">
        <v>9</v>
      </c>
      <c r="D1444" t="s">
        <v>154</v>
      </c>
      <c r="E1444">
        <v>456</v>
      </c>
      <c r="F1444" t="b">
        <v>1</v>
      </c>
      <c r="G1444" t="str">
        <f>HYPERLINK("https://www.google.com/maps/search/?api=1&amp;query=24.7328067,46.82586604", "View Map")</f>
        <v>View Map</v>
      </c>
    </row>
    <row r="1445" spans="1:7" x14ac:dyDescent="0.3">
      <c r="A1445" t="s">
        <v>2413</v>
      </c>
      <c r="B1445" t="s">
        <v>2414</v>
      </c>
      <c r="C1445" t="s">
        <v>9</v>
      </c>
      <c r="D1445" t="s">
        <v>154</v>
      </c>
      <c r="E1445">
        <v>456</v>
      </c>
      <c r="F1445" t="b">
        <v>1</v>
      </c>
      <c r="G1445" t="str">
        <f>HYPERLINK("https://www.google.com/maps/search/?api=1&amp;query=24.58650463,46.68320732", "View Map")</f>
        <v>View Map</v>
      </c>
    </row>
    <row r="1446" spans="1:7" x14ac:dyDescent="0.3">
      <c r="A1446" t="s">
        <v>2415</v>
      </c>
      <c r="B1446" t="s">
        <v>2416</v>
      </c>
      <c r="C1446" t="s">
        <v>9</v>
      </c>
      <c r="D1446" t="s">
        <v>154</v>
      </c>
      <c r="E1446">
        <v>455</v>
      </c>
      <c r="F1446" t="b">
        <v>1</v>
      </c>
      <c r="G1446" t="str">
        <f>HYPERLINK("https://www.google.com/maps/search/?api=1&amp;query=24.69286185,46.76104565", "View Map")</f>
        <v>View Map</v>
      </c>
    </row>
    <row r="1447" spans="1:7" x14ac:dyDescent="0.3">
      <c r="A1447" t="s">
        <v>27</v>
      </c>
      <c r="B1447" t="s">
        <v>2417</v>
      </c>
      <c r="C1447" t="s">
        <v>9</v>
      </c>
      <c r="D1447" t="s">
        <v>154</v>
      </c>
      <c r="E1447">
        <v>455</v>
      </c>
      <c r="F1447" t="b">
        <v>1</v>
      </c>
      <c r="G1447" t="str">
        <f>HYPERLINK("https://www.google.com/maps/search/?api=1&amp;query=24.66899204,46.71227694", "View Map")</f>
        <v>View Map</v>
      </c>
    </row>
    <row r="1448" spans="1:7" x14ac:dyDescent="0.3">
      <c r="A1448" t="s">
        <v>2418</v>
      </c>
      <c r="B1448" t="s">
        <v>2419</v>
      </c>
      <c r="C1448" t="s">
        <v>9</v>
      </c>
      <c r="D1448" t="s">
        <v>154</v>
      </c>
      <c r="E1448">
        <v>455</v>
      </c>
      <c r="F1448" t="b">
        <v>1</v>
      </c>
      <c r="G1448" t="str">
        <f>HYPERLINK("https://www.google.com/maps/search/?api=1&amp;query=24.63652647,46.56941693", "View Map")</f>
        <v>View Map</v>
      </c>
    </row>
    <row r="1449" spans="1:7" x14ac:dyDescent="0.3">
      <c r="A1449" t="s">
        <v>159</v>
      </c>
      <c r="B1449" t="s">
        <v>2420</v>
      </c>
      <c r="C1449" t="s">
        <v>9</v>
      </c>
      <c r="D1449" t="s">
        <v>154</v>
      </c>
      <c r="E1449">
        <v>455</v>
      </c>
      <c r="F1449" t="b">
        <v>1</v>
      </c>
      <c r="G1449" t="str">
        <f>HYPERLINK("https://www.google.com/maps/search/?api=1&amp;query=24.5883757,46.69042881", "View Map")</f>
        <v>View Map</v>
      </c>
    </row>
    <row r="1450" spans="1:7" x14ac:dyDescent="0.3">
      <c r="A1450" t="s">
        <v>2421</v>
      </c>
      <c r="B1450" t="s">
        <v>2422</v>
      </c>
      <c r="C1450" t="s">
        <v>9</v>
      </c>
      <c r="D1450" t="s">
        <v>154</v>
      </c>
      <c r="E1450">
        <v>455</v>
      </c>
      <c r="F1450" t="b">
        <v>1</v>
      </c>
      <c r="G1450" t="str">
        <f>HYPERLINK("https://www.google.com/maps/search/?api=1&amp;query=24.59929334,46.60025905", "View Map")</f>
        <v>View Map</v>
      </c>
    </row>
    <row r="1451" spans="1:7" x14ac:dyDescent="0.3">
      <c r="A1451" t="s">
        <v>27</v>
      </c>
      <c r="B1451" t="s">
        <v>2423</v>
      </c>
      <c r="C1451" t="s">
        <v>9</v>
      </c>
      <c r="D1451" t="s">
        <v>154</v>
      </c>
      <c r="E1451">
        <v>455</v>
      </c>
      <c r="F1451" t="b">
        <v>1</v>
      </c>
      <c r="G1451" t="str">
        <f>HYPERLINK("https://www.google.com/maps/search/?api=1&amp;query=24.63065981,46.52829146", "View Map")</f>
        <v>View Map</v>
      </c>
    </row>
    <row r="1452" spans="1:7" x14ac:dyDescent="0.3">
      <c r="A1452" t="s">
        <v>445</v>
      </c>
      <c r="B1452" t="s">
        <v>2424</v>
      </c>
      <c r="C1452" t="s">
        <v>9</v>
      </c>
      <c r="D1452" t="s">
        <v>154</v>
      </c>
      <c r="E1452">
        <v>455</v>
      </c>
      <c r="F1452" t="b">
        <v>1</v>
      </c>
      <c r="G1452" t="str">
        <f>HYPERLINK("https://www.google.com/maps/search/?api=1&amp;query=24.71373788,46.83265533", "View Map")</f>
        <v>View Map</v>
      </c>
    </row>
    <row r="1453" spans="1:7" x14ac:dyDescent="0.3">
      <c r="A1453" t="s">
        <v>2425</v>
      </c>
      <c r="B1453" t="s">
        <v>2426</v>
      </c>
      <c r="C1453" t="s">
        <v>9</v>
      </c>
      <c r="D1453" t="s">
        <v>154</v>
      </c>
      <c r="E1453">
        <v>455</v>
      </c>
      <c r="F1453" t="b">
        <v>1</v>
      </c>
      <c r="G1453" t="str">
        <f>HYPERLINK("https://www.google.com/maps/search/?api=1&amp;query=24.68233004,46.8225652", "View Map")</f>
        <v>View Map</v>
      </c>
    </row>
    <row r="1454" spans="1:7" x14ac:dyDescent="0.3">
      <c r="A1454" t="s">
        <v>2427</v>
      </c>
      <c r="B1454" t="s">
        <v>2428</v>
      </c>
      <c r="C1454" t="s">
        <v>9</v>
      </c>
      <c r="D1454" t="s">
        <v>154</v>
      </c>
      <c r="E1454">
        <v>454</v>
      </c>
      <c r="F1454" t="b">
        <v>1</v>
      </c>
      <c r="G1454" t="str">
        <f>HYPERLINK("https://www.google.com/maps/search/?api=1&amp;query=24.5727769,46.84791767", "View Map")</f>
        <v>View Map</v>
      </c>
    </row>
    <row r="1455" spans="1:7" x14ac:dyDescent="0.3">
      <c r="A1455" t="s">
        <v>159</v>
      </c>
      <c r="B1455" t="s">
        <v>2429</v>
      </c>
      <c r="C1455" t="s">
        <v>9</v>
      </c>
      <c r="D1455" t="s">
        <v>154</v>
      </c>
      <c r="E1455">
        <v>454</v>
      </c>
      <c r="F1455" t="b">
        <v>0</v>
      </c>
      <c r="G1455" t="str">
        <f>HYPERLINK("https://www.google.com/maps/search/?api=1&amp;query=24.55400993,46.57070032", "View Map")</f>
        <v>View Map</v>
      </c>
    </row>
    <row r="1456" spans="1:7" x14ac:dyDescent="0.3">
      <c r="A1456" t="s">
        <v>27</v>
      </c>
      <c r="B1456" t="s">
        <v>2430</v>
      </c>
      <c r="C1456" t="s">
        <v>9</v>
      </c>
      <c r="D1456" t="s">
        <v>154</v>
      </c>
      <c r="E1456">
        <v>454</v>
      </c>
      <c r="F1456" t="b">
        <v>1</v>
      </c>
      <c r="G1456" t="str">
        <f>HYPERLINK("https://www.google.com/maps/search/?api=1&amp;query=24.6067,46.5183", "View Map")</f>
        <v>View Map</v>
      </c>
    </row>
    <row r="1457" spans="1:7" x14ac:dyDescent="0.3">
      <c r="A1457" t="s">
        <v>2431</v>
      </c>
      <c r="B1457" t="s">
        <v>2432</v>
      </c>
      <c r="C1457" t="s">
        <v>9</v>
      </c>
      <c r="D1457" t="s">
        <v>154</v>
      </c>
      <c r="E1457">
        <v>454</v>
      </c>
      <c r="F1457" t="b">
        <v>1</v>
      </c>
      <c r="G1457" t="str">
        <f>HYPERLINK("https://www.google.com/maps/search/?api=1&amp;query=24.57561083,46.70002752", "View Map")</f>
        <v>View Map</v>
      </c>
    </row>
    <row r="1458" spans="1:7" x14ac:dyDescent="0.3">
      <c r="A1458" t="s">
        <v>2433</v>
      </c>
      <c r="B1458" t="s">
        <v>2434</v>
      </c>
      <c r="C1458" t="s">
        <v>9</v>
      </c>
      <c r="D1458" t="s">
        <v>154</v>
      </c>
      <c r="E1458">
        <v>454</v>
      </c>
      <c r="F1458" t="b">
        <v>1</v>
      </c>
      <c r="G1458" t="str">
        <f>HYPERLINK("https://www.google.com/maps/search/?api=1&amp;query=24.68791906,46.76304245", "View Map")</f>
        <v>View Map</v>
      </c>
    </row>
    <row r="1459" spans="1:7" x14ac:dyDescent="0.3">
      <c r="A1459" t="s">
        <v>2435</v>
      </c>
      <c r="B1459" t="s">
        <v>2436</v>
      </c>
      <c r="C1459" t="s">
        <v>9</v>
      </c>
      <c r="D1459" t="s">
        <v>154</v>
      </c>
      <c r="E1459">
        <v>453</v>
      </c>
      <c r="F1459" t="b">
        <v>0</v>
      </c>
      <c r="G1459" t="str">
        <f>HYPERLINK("https://www.google.com/maps/search/?api=1&amp;query=24.59155695,46.77504391", "View Map")</f>
        <v>View Map</v>
      </c>
    </row>
    <row r="1460" spans="1:7" x14ac:dyDescent="0.3">
      <c r="A1460" t="s">
        <v>2437</v>
      </c>
      <c r="B1460" t="s">
        <v>2438</v>
      </c>
      <c r="C1460" t="s">
        <v>9</v>
      </c>
      <c r="D1460" t="s">
        <v>154</v>
      </c>
      <c r="E1460">
        <v>452</v>
      </c>
      <c r="F1460" t="b">
        <v>1</v>
      </c>
      <c r="G1460" t="str">
        <f>HYPERLINK("https://www.google.com/maps/search/?api=1&amp;query=24.81262105,46.88175377", "View Map")</f>
        <v>View Map</v>
      </c>
    </row>
    <row r="1461" spans="1:7" x14ac:dyDescent="0.3">
      <c r="A1461" t="s">
        <v>2439</v>
      </c>
      <c r="B1461" t="s">
        <v>2440</v>
      </c>
      <c r="C1461" t="s">
        <v>9</v>
      </c>
      <c r="D1461" t="s">
        <v>154</v>
      </c>
      <c r="E1461">
        <v>452</v>
      </c>
      <c r="F1461" t="b">
        <v>1</v>
      </c>
      <c r="G1461" t="str">
        <f>HYPERLINK("https://www.google.com/maps/search/?api=1&amp;query=24.75466855,46.6851675", "View Map")</f>
        <v>View Map</v>
      </c>
    </row>
    <row r="1462" spans="1:7" x14ac:dyDescent="0.3">
      <c r="A1462" t="s">
        <v>2441</v>
      </c>
      <c r="B1462" t="s">
        <v>2442</v>
      </c>
      <c r="C1462" t="s">
        <v>9</v>
      </c>
      <c r="D1462" t="s">
        <v>154</v>
      </c>
      <c r="E1462">
        <v>452</v>
      </c>
      <c r="F1462" t="b">
        <v>0</v>
      </c>
      <c r="G1462" t="str">
        <f>HYPERLINK("https://www.google.com/maps/search/?api=1&amp;query=24.70495823,46.69325971", "View Map")</f>
        <v>View Map</v>
      </c>
    </row>
    <row r="1463" spans="1:7" x14ac:dyDescent="0.3">
      <c r="A1463" t="s">
        <v>1999</v>
      </c>
      <c r="B1463" t="s">
        <v>2443</v>
      </c>
      <c r="C1463" t="s">
        <v>9</v>
      </c>
      <c r="D1463" t="s">
        <v>154</v>
      </c>
      <c r="E1463">
        <v>452</v>
      </c>
      <c r="F1463" t="b">
        <v>0</v>
      </c>
      <c r="G1463" t="str">
        <f>HYPERLINK("https://www.google.com/maps/search/?api=1&amp;query=24.64559399,46.54794048", "View Map")</f>
        <v>View Map</v>
      </c>
    </row>
    <row r="1464" spans="1:7" x14ac:dyDescent="0.3">
      <c r="A1464" t="s">
        <v>2444</v>
      </c>
      <c r="B1464" t="s">
        <v>2445</v>
      </c>
      <c r="C1464" t="s">
        <v>9</v>
      </c>
      <c r="D1464" t="s">
        <v>154</v>
      </c>
      <c r="E1464">
        <v>452</v>
      </c>
      <c r="F1464" t="b">
        <v>1</v>
      </c>
      <c r="G1464" t="str">
        <f>HYPERLINK("https://www.google.com/maps/search/?api=1&amp;query=24.59388837,46.59087851", "View Map")</f>
        <v>View Map</v>
      </c>
    </row>
    <row r="1465" spans="1:7" x14ac:dyDescent="0.3">
      <c r="A1465" t="s">
        <v>159</v>
      </c>
      <c r="B1465" t="s">
        <v>2446</v>
      </c>
      <c r="C1465" t="s">
        <v>9</v>
      </c>
      <c r="D1465" t="s">
        <v>154</v>
      </c>
      <c r="E1465">
        <v>451</v>
      </c>
      <c r="F1465" t="b">
        <v>1</v>
      </c>
      <c r="G1465" t="str">
        <f>HYPERLINK("https://www.google.com/maps/search/?api=1&amp;query=24.52501901,46.64200133", "View Map")</f>
        <v>View Map</v>
      </c>
    </row>
    <row r="1466" spans="1:7" x14ac:dyDescent="0.3">
      <c r="A1466" t="s">
        <v>2447</v>
      </c>
      <c r="B1466" t="s">
        <v>2448</v>
      </c>
      <c r="C1466" t="s">
        <v>9</v>
      </c>
      <c r="D1466" t="s">
        <v>154</v>
      </c>
      <c r="E1466">
        <v>451</v>
      </c>
      <c r="F1466" t="b">
        <v>1</v>
      </c>
      <c r="G1466" t="str">
        <f>HYPERLINK("https://www.google.com/maps/search/?api=1&amp;query=24.58764209,46.54654715", "View Map")</f>
        <v>View Map</v>
      </c>
    </row>
    <row r="1467" spans="1:7" x14ac:dyDescent="0.3">
      <c r="A1467" t="s">
        <v>390</v>
      </c>
      <c r="B1467" t="s">
        <v>2449</v>
      </c>
      <c r="C1467" t="s">
        <v>9</v>
      </c>
      <c r="D1467" t="s">
        <v>154</v>
      </c>
      <c r="E1467">
        <v>451</v>
      </c>
      <c r="F1467" t="b">
        <v>1</v>
      </c>
      <c r="G1467" t="str">
        <f>HYPERLINK("https://www.google.com/maps/search/?api=1&amp;query=24.76186,46.71891", "View Map")</f>
        <v>View Map</v>
      </c>
    </row>
    <row r="1468" spans="1:7" x14ac:dyDescent="0.3">
      <c r="A1468" t="s">
        <v>2450</v>
      </c>
      <c r="B1468" t="s">
        <v>2451</v>
      </c>
      <c r="C1468" t="s">
        <v>9</v>
      </c>
      <c r="D1468" t="s">
        <v>154</v>
      </c>
      <c r="E1468">
        <v>450</v>
      </c>
      <c r="F1468" t="b">
        <v>0</v>
      </c>
      <c r="G1468" t="str">
        <f>HYPERLINK("https://www.google.com/maps/search/?api=1&amp;query=24.63436151,46.56636586", "View Map")</f>
        <v>View Map</v>
      </c>
    </row>
    <row r="1469" spans="1:7" x14ac:dyDescent="0.3">
      <c r="A1469" t="s">
        <v>159</v>
      </c>
      <c r="B1469" t="s">
        <v>2452</v>
      </c>
      <c r="C1469" t="s">
        <v>9</v>
      </c>
      <c r="D1469" t="s">
        <v>154</v>
      </c>
      <c r="E1469">
        <v>450</v>
      </c>
      <c r="F1469" t="b">
        <v>1</v>
      </c>
      <c r="G1469" t="str">
        <f>HYPERLINK("https://www.google.com/maps/search/?api=1&amp;query=24.57820144,46.51800233", "View Map")</f>
        <v>View Map</v>
      </c>
    </row>
    <row r="1470" spans="1:7" x14ac:dyDescent="0.3">
      <c r="A1470" t="s">
        <v>2453</v>
      </c>
      <c r="B1470" t="s">
        <v>2454</v>
      </c>
      <c r="C1470" t="s">
        <v>9</v>
      </c>
      <c r="D1470" t="s">
        <v>154</v>
      </c>
      <c r="E1470">
        <v>450</v>
      </c>
      <c r="F1470" t="b">
        <v>1</v>
      </c>
      <c r="G1470" t="str">
        <f>HYPERLINK("https://www.google.com/maps/search/?api=1&amp;query=24.72485281,46.81306006", "View Map")</f>
        <v>View Map</v>
      </c>
    </row>
    <row r="1471" spans="1:7" x14ac:dyDescent="0.3">
      <c r="A1471" t="s">
        <v>2455</v>
      </c>
      <c r="B1471" t="s">
        <v>2456</v>
      </c>
      <c r="C1471" t="s">
        <v>9</v>
      </c>
      <c r="D1471" t="s">
        <v>154</v>
      </c>
      <c r="E1471">
        <v>450</v>
      </c>
      <c r="F1471" t="b">
        <v>1</v>
      </c>
      <c r="G1471" t="str">
        <f>HYPERLINK("https://www.google.com/maps/search/?api=1&amp;query=24.61794281,46.69453709", "View Map")</f>
        <v>View Map</v>
      </c>
    </row>
    <row r="1472" spans="1:7" x14ac:dyDescent="0.3">
      <c r="A1472" t="s">
        <v>406</v>
      </c>
      <c r="B1472" t="s">
        <v>2457</v>
      </c>
      <c r="C1472" t="s">
        <v>9</v>
      </c>
      <c r="D1472" t="s">
        <v>154</v>
      </c>
      <c r="E1472">
        <v>449</v>
      </c>
      <c r="F1472" t="b">
        <v>1</v>
      </c>
      <c r="G1472" t="str">
        <f>HYPERLINK("https://www.google.com/maps/search/?api=1&amp;query=24.7899744,46.6973213", "View Map")</f>
        <v>View Map</v>
      </c>
    </row>
    <row r="1473" spans="1:7" x14ac:dyDescent="0.3">
      <c r="A1473" t="s">
        <v>2458</v>
      </c>
      <c r="B1473" t="s">
        <v>2459</v>
      </c>
      <c r="C1473" t="s">
        <v>9</v>
      </c>
      <c r="D1473" t="s">
        <v>154</v>
      </c>
      <c r="E1473">
        <v>449</v>
      </c>
      <c r="F1473" t="b">
        <v>1</v>
      </c>
      <c r="G1473" t="str">
        <f>HYPERLINK("https://www.google.com/maps/search/?api=1&amp;query=24.73544912,46.83330853", "View Map")</f>
        <v>View Map</v>
      </c>
    </row>
    <row r="1474" spans="1:7" x14ac:dyDescent="0.3">
      <c r="A1474" t="s">
        <v>2460</v>
      </c>
      <c r="B1474" t="s">
        <v>2461</v>
      </c>
      <c r="C1474" t="s">
        <v>9</v>
      </c>
      <c r="D1474" t="s">
        <v>154</v>
      </c>
      <c r="E1474">
        <v>449</v>
      </c>
      <c r="F1474" t="b">
        <v>1</v>
      </c>
      <c r="G1474" t="str">
        <f>HYPERLINK("https://www.google.com/maps/search/?api=1&amp;query=24.57107711,46.85112133", "View Map")</f>
        <v>View Map</v>
      </c>
    </row>
    <row r="1475" spans="1:7" x14ac:dyDescent="0.3">
      <c r="A1475" t="s">
        <v>194</v>
      </c>
      <c r="B1475" t="s">
        <v>2462</v>
      </c>
      <c r="C1475" t="s">
        <v>9</v>
      </c>
      <c r="D1475" t="s">
        <v>154</v>
      </c>
      <c r="E1475">
        <v>449</v>
      </c>
      <c r="F1475" t="b">
        <v>1</v>
      </c>
      <c r="G1475" t="str">
        <f>HYPERLINK("https://www.google.com/maps/search/?api=1&amp;query=24.81223815,46.75974487", "View Map")</f>
        <v>View Map</v>
      </c>
    </row>
    <row r="1476" spans="1:7" x14ac:dyDescent="0.3">
      <c r="A1476" t="s">
        <v>159</v>
      </c>
      <c r="B1476" t="s">
        <v>2463</v>
      </c>
      <c r="C1476" t="s">
        <v>9</v>
      </c>
      <c r="D1476" t="s">
        <v>154</v>
      </c>
      <c r="E1476">
        <v>449</v>
      </c>
      <c r="F1476" t="b">
        <v>1</v>
      </c>
      <c r="G1476" t="str">
        <f>HYPERLINK("https://www.google.com/maps/search/?api=1&amp;query=24.55826716,46.56189007", "View Map")</f>
        <v>View Map</v>
      </c>
    </row>
    <row r="1477" spans="1:7" x14ac:dyDescent="0.3">
      <c r="A1477" t="s">
        <v>27</v>
      </c>
      <c r="B1477" t="s">
        <v>2464</v>
      </c>
      <c r="C1477" t="s">
        <v>9</v>
      </c>
      <c r="D1477" t="s">
        <v>154</v>
      </c>
      <c r="E1477">
        <v>448</v>
      </c>
      <c r="F1477" t="b">
        <v>1</v>
      </c>
      <c r="G1477" t="str">
        <f>HYPERLINK("https://www.google.com/maps/search/?api=1&amp;query=24.7822,46.5958", "View Map")</f>
        <v>View Map</v>
      </c>
    </row>
    <row r="1478" spans="1:7" x14ac:dyDescent="0.3">
      <c r="A1478" t="s">
        <v>2465</v>
      </c>
      <c r="B1478" t="s">
        <v>2466</v>
      </c>
      <c r="C1478" t="s">
        <v>9</v>
      </c>
      <c r="D1478" t="s">
        <v>154</v>
      </c>
      <c r="E1478">
        <v>448</v>
      </c>
      <c r="F1478" t="b">
        <v>1</v>
      </c>
      <c r="G1478" t="str">
        <f>HYPERLINK("https://www.google.com/maps/search/?api=1&amp;query=24.697,46.68687", "View Map")</f>
        <v>View Map</v>
      </c>
    </row>
    <row r="1479" spans="1:7" x14ac:dyDescent="0.3">
      <c r="A1479" t="s">
        <v>2467</v>
      </c>
      <c r="B1479" t="s">
        <v>2468</v>
      </c>
      <c r="C1479" t="s">
        <v>9</v>
      </c>
      <c r="D1479" t="s">
        <v>154</v>
      </c>
      <c r="E1479">
        <v>448</v>
      </c>
      <c r="F1479" t="b">
        <v>1</v>
      </c>
      <c r="G1479" t="str">
        <f>HYPERLINK("https://www.google.com/maps/search/?api=1&amp;query=24.71158805,46.81123478", "View Map")</f>
        <v>View Map</v>
      </c>
    </row>
    <row r="1480" spans="1:7" x14ac:dyDescent="0.3">
      <c r="A1480" t="s">
        <v>2469</v>
      </c>
      <c r="B1480" t="s">
        <v>2470</v>
      </c>
      <c r="C1480" t="s">
        <v>9</v>
      </c>
      <c r="D1480" t="s">
        <v>154</v>
      </c>
      <c r="E1480">
        <v>448</v>
      </c>
      <c r="F1480" t="b">
        <v>1</v>
      </c>
      <c r="G1480" t="str">
        <f>HYPERLINK("https://www.google.com/maps/search/?api=1&amp;query=24.62866987,46.72821145", "View Map")</f>
        <v>View Map</v>
      </c>
    </row>
    <row r="1481" spans="1:7" x14ac:dyDescent="0.3">
      <c r="A1481" t="s">
        <v>2471</v>
      </c>
      <c r="B1481" t="s">
        <v>2472</v>
      </c>
      <c r="C1481" t="s">
        <v>9</v>
      </c>
      <c r="D1481" t="s">
        <v>154</v>
      </c>
      <c r="E1481">
        <v>448</v>
      </c>
      <c r="F1481" t="b">
        <v>1</v>
      </c>
      <c r="G1481" t="str">
        <f>HYPERLINK("https://www.google.com/maps/search/?api=1&amp;query=24.57867615,46.59689655", "View Map")</f>
        <v>View Map</v>
      </c>
    </row>
    <row r="1482" spans="1:7" x14ac:dyDescent="0.3">
      <c r="A1482" t="s">
        <v>27</v>
      </c>
      <c r="B1482" t="s">
        <v>2473</v>
      </c>
      <c r="C1482" t="s">
        <v>9</v>
      </c>
      <c r="D1482" t="s">
        <v>154</v>
      </c>
      <c r="E1482">
        <v>448</v>
      </c>
      <c r="F1482" t="b">
        <v>1</v>
      </c>
      <c r="G1482" t="str">
        <f>HYPERLINK("https://www.google.com/maps/search/?api=1&amp;query=24.82135816,46.71911923", "View Map")</f>
        <v>View Map</v>
      </c>
    </row>
    <row r="1483" spans="1:7" x14ac:dyDescent="0.3">
      <c r="A1483" t="s">
        <v>2474</v>
      </c>
      <c r="B1483" t="s">
        <v>2475</v>
      </c>
      <c r="C1483" t="s">
        <v>9</v>
      </c>
      <c r="D1483" t="s">
        <v>154</v>
      </c>
      <c r="E1483">
        <v>448</v>
      </c>
      <c r="F1483" t="b">
        <v>1</v>
      </c>
      <c r="G1483" t="str">
        <f>HYPERLINK("https://www.google.com/maps/search/?api=1&amp;query=24.76040456,46.8216772", "View Map")</f>
        <v>View Map</v>
      </c>
    </row>
    <row r="1484" spans="1:7" x14ac:dyDescent="0.3">
      <c r="A1484" t="s">
        <v>159</v>
      </c>
      <c r="B1484" t="s">
        <v>2476</v>
      </c>
      <c r="C1484" t="s">
        <v>9</v>
      </c>
      <c r="D1484" t="s">
        <v>154</v>
      </c>
      <c r="E1484">
        <v>447</v>
      </c>
      <c r="F1484" t="b">
        <v>1</v>
      </c>
      <c r="G1484" t="str">
        <f>HYPERLINK("https://www.google.com/maps/search/?api=1&amp;query=24.5697,46.5264", "View Map")</f>
        <v>View Map</v>
      </c>
    </row>
    <row r="1485" spans="1:7" x14ac:dyDescent="0.3">
      <c r="A1485" t="s">
        <v>2477</v>
      </c>
      <c r="B1485" t="s">
        <v>2478</v>
      </c>
      <c r="C1485" t="s">
        <v>9</v>
      </c>
      <c r="D1485" t="s">
        <v>154</v>
      </c>
      <c r="E1485">
        <v>447</v>
      </c>
      <c r="F1485" t="b">
        <v>1</v>
      </c>
      <c r="G1485" t="str">
        <f>HYPERLINK("https://www.google.com/maps/search/?api=1&amp;query=24.62607858,46.84918722", "View Map")</f>
        <v>View Map</v>
      </c>
    </row>
    <row r="1486" spans="1:7" x14ac:dyDescent="0.3">
      <c r="A1486" t="s">
        <v>661</v>
      </c>
      <c r="B1486" t="s">
        <v>2479</v>
      </c>
      <c r="C1486" t="s">
        <v>9</v>
      </c>
      <c r="D1486" t="s">
        <v>154</v>
      </c>
      <c r="E1486">
        <v>447</v>
      </c>
      <c r="F1486" t="b">
        <v>1</v>
      </c>
      <c r="G1486" t="str">
        <f>HYPERLINK("https://www.google.com/maps/search/?api=1&amp;query=24.54393524,46.70151236", "View Map")</f>
        <v>View Map</v>
      </c>
    </row>
    <row r="1487" spans="1:7" x14ac:dyDescent="0.3">
      <c r="A1487" t="s">
        <v>2480</v>
      </c>
      <c r="B1487" t="s">
        <v>2481</v>
      </c>
      <c r="C1487" t="s">
        <v>9</v>
      </c>
      <c r="D1487" t="s">
        <v>154</v>
      </c>
      <c r="E1487">
        <v>447</v>
      </c>
      <c r="F1487" t="b">
        <v>1</v>
      </c>
      <c r="G1487" t="str">
        <f>HYPERLINK("https://www.google.com/maps/search/?api=1&amp;query=24.62314321,46.55773407", "View Map")</f>
        <v>View Map</v>
      </c>
    </row>
    <row r="1488" spans="1:7" x14ac:dyDescent="0.3">
      <c r="A1488" t="s">
        <v>2482</v>
      </c>
      <c r="B1488" t="s">
        <v>2483</v>
      </c>
      <c r="C1488" t="s">
        <v>9</v>
      </c>
      <c r="D1488" t="s">
        <v>154</v>
      </c>
      <c r="E1488">
        <v>447</v>
      </c>
      <c r="F1488" t="b">
        <v>1</v>
      </c>
      <c r="G1488" t="str">
        <f>HYPERLINK("https://www.google.com/maps/search/?api=1&amp;query=24.57216007,46.68666906", "View Map")</f>
        <v>View Map</v>
      </c>
    </row>
    <row r="1489" spans="1:7" x14ac:dyDescent="0.3">
      <c r="A1489" t="s">
        <v>2484</v>
      </c>
      <c r="B1489" t="s">
        <v>2485</v>
      </c>
      <c r="C1489" t="s">
        <v>9</v>
      </c>
      <c r="D1489" t="s">
        <v>154</v>
      </c>
      <c r="E1489">
        <v>447</v>
      </c>
      <c r="F1489" t="b">
        <v>1</v>
      </c>
      <c r="G1489" t="str">
        <f>HYPERLINK("https://www.google.com/maps/search/?api=1&amp;query=24.57823074,46.6923062", "View Map")</f>
        <v>View Map</v>
      </c>
    </row>
    <row r="1490" spans="1:7" x14ac:dyDescent="0.3">
      <c r="A1490" t="s">
        <v>2486</v>
      </c>
      <c r="B1490" t="s">
        <v>2487</v>
      </c>
      <c r="C1490" t="s">
        <v>9</v>
      </c>
      <c r="D1490" t="s">
        <v>154</v>
      </c>
      <c r="E1490">
        <v>446</v>
      </c>
      <c r="F1490" t="b">
        <v>0</v>
      </c>
      <c r="G1490" t="str">
        <f>HYPERLINK("https://www.google.com/maps/search/?api=1&amp;query=24.50237325,46.62671845", "View Map")</f>
        <v>View Map</v>
      </c>
    </row>
    <row r="1491" spans="1:7" x14ac:dyDescent="0.3">
      <c r="A1491" t="s">
        <v>27</v>
      </c>
      <c r="B1491" t="s">
        <v>2488</v>
      </c>
      <c r="C1491" t="s">
        <v>9</v>
      </c>
      <c r="D1491" t="s">
        <v>154</v>
      </c>
      <c r="E1491">
        <v>446</v>
      </c>
      <c r="F1491" t="b">
        <v>1</v>
      </c>
      <c r="G1491" t="str">
        <f>HYPERLINK("https://www.google.com/maps/search/?api=1&amp;query=24.82599,46.58453", "View Map")</f>
        <v>View Map</v>
      </c>
    </row>
    <row r="1492" spans="1:7" x14ac:dyDescent="0.3">
      <c r="A1492" t="s">
        <v>27</v>
      </c>
      <c r="B1492" t="s">
        <v>2489</v>
      </c>
      <c r="C1492" t="s">
        <v>9</v>
      </c>
      <c r="D1492" t="s">
        <v>154</v>
      </c>
      <c r="E1492">
        <v>446</v>
      </c>
      <c r="F1492" t="b">
        <v>1</v>
      </c>
      <c r="G1492" t="str">
        <f>HYPERLINK("https://www.google.com/maps/search/?api=1&amp;query=24.61395679,46.50235749", "View Map")</f>
        <v>View Map</v>
      </c>
    </row>
    <row r="1493" spans="1:7" x14ac:dyDescent="0.3">
      <c r="A1493" t="s">
        <v>2490</v>
      </c>
      <c r="B1493" t="s">
        <v>2491</v>
      </c>
      <c r="C1493" t="s">
        <v>9</v>
      </c>
      <c r="D1493" t="s">
        <v>154</v>
      </c>
      <c r="E1493">
        <v>446</v>
      </c>
      <c r="F1493" t="b">
        <v>1</v>
      </c>
      <c r="G1493" t="str">
        <f>HYPERLINK("https://www.google.com/maps/search/?api=1&amp;query=24.64057863,46.5964005", "View Map")</f>
        <v>View Map</v>
      </c>
    </row>
    <row r="1494" spans="1:7" x14ac:dyDescent="0.3">
      <c r="A1494" t="s">
        <v>2492</v>
      </c>
      <c r="B1494" t="s">
        <v>2493</v>
      </c>
      <c r="C1494" t="s">
        <v>9</v>
      </c>
      <c r="D1494" t="s">
        <v>154</v>
      </c>
      <c r="E1494">
        <v>445</v>
      </c>
      <c r="F1494" t="b">
        <v>1</v>
      </c>
      <c r="G1494" t="str">
        <f>HYPERLINK("https://www.google.com/maps/search/?api=1&amp;query=24.75574702,46.76296887", "View Map")</f>
        <v>View Map</v>
      </c>
    </row>
    <row r="1495" spans="1:7" x14ac:dyDescent="0.3">
      <c r="A1495" t="s">
        <v>2494</v>
      </c>
      <c r="B1495" t="s">
        <v>2495</v>
      </c>
      <c r="C1495" t="s">
        <v>9</v>
      </c>
      <c r="D1495" t="s">
        <v>154</v>
      </c>
      <c r="E1495">
        <v>445</v>
      </c>
      <c r="F1495" t="b">
        <v>0</v>
      </c>
      <c r="G1495" t="str">
        <f>HYPERLINK("https://www.google.com/maps/search/?api=1&amp;query=24.77396,46.67822", "View Map")</f>
        <v>View Map</v>
      </c>
    </row>
    <row r="1496" spans="1:7" x14ac:dyDescent="0.3">
      <c r="A1496" t="s">
        <v>159</v>
      </c>
      <c r="B1496" t="s">
        <v>2496</v>
      </c>
      <c r="C1496" t="s">
        <v>9</v>
      </c>
      <c r="D1496" t="s">
        <v>154</v>
      </c>
      <c r="E1496">
        <v>445</v>
      </c>
      <c r="F1496" t="b">
        <v>1</v>
      </c>
      <c r="G1496" t="str">
        <f>HYPERLINK("https://www.google.com/maps/search/?api=1&amp;query=24.61499848,46.65565514", "View Map")</f>
        <v>View Map</v>
      </c>
    </row>
    <row r="1497" spans="1:7" x14ac:dyDescent="0.3">
      <c r="A1497" t="s">
        <v>27</v>
      </c>
      <c r="B1497" t="s">
        <v>2497</v>
      </c>
      <c r="C1497" t="s">
        <v>9</v>
      </c>
      <c r="D1497" t="s">
        <v>154</v>
      </c>
      <c r="E1497">
        <v>445</v>
      </c>
      <c r="F1497" t="b">
        <v>1</v>
      </c>
      <c r="G1497" t="str">
        <f>HYPERLINK("https://www.google.com/maps/search/?api=1&amp;query=24.8224203,46.73908315", "View Map")</f>
        <v>View Map</v>
      </c>
    </row>
    <row r="1498" spans="1:7" x14ac:dyDescent="0.3">
      <c r="A1498" t="s">
        <v>27</v>
      </c>
      <c r="B1498" t="s">
        <v>2498</v>
      </c>
      <c r="C1498" t="s">
        <v>72</v>
      </c>
      <c r="D1498" t="s">
        <v>154</v>
      </c>
      <c r="E1498">
        <v>445</v>
      </c>
      <c r="F1498" t="b">
        <v>1</v>
      </c>
      <c r="G1498" t="str">
        <f>HYPERLINK("https://www.google.com/maps/search/?api=1&amp;query=24.90629364,46.42993658", "View Map")</f>
        <v>View Map</v>
      </c>
    </row>
    <row r="1499" spans="1:7" x14ac:dyDescent="0.3">
      <c r="A1499" t="s">
        <v>2499</v>
      </c>
      <c r="B1499" t="s">
        <v>2500</v>
      </c>
      <c r="C1499" t="s">
        <v>9</v>
      </c>
      <c r="D1499" t="s">
        <v>154</v>
      </c>
      <c r="E1499">
        <v>445</v>
      </c>
      <c r="F1499" t="b">
        <v>1</v>
      </c>
      <c r="G1499" t="str">
        <f>HYPERLINK("https://www.google.com/maps/search/?api=1&amp;query=24.62816711,46.74875571", "View Map")</f>
        <v>View Map</v>
      </c>
    </row>
    <row r="1500" spans="1:7" x14ac:dyDescent="0.3">
      <c r="A1500" t="s">
        <v>2501</v>
      </c>
      <c r="B1500" t="s">
        <v>2502</v>
      </c>
      <c r="C1500" t="s">
        <v>9</v>
      </c>
      <c r="D1500" t="s">
        <v>154</v>
      </c>
      <c r="E1500">
        <v>444</v>
      </c>
      <c r="F1500" t="b">
        <v>1</v>
      </c>
      <c r="G1500" t="str">
        <f>HYPERLINK("https://www.google.com/maps/search/?api=1&amp;query=24.6782855,46.81130859", "View Map")</f>
        <v>View Map</v>
      </c>
    </row>
    <row r="1501" spans="1:7" x14ac:dyDescent="0.3">
      <c r="A1501" t="s">
        <v>27</v>
      </c>
      <c r="B1501" t="s">
        <v>2503</v>
      </c>
      <c r="C1501" t="s">
        <v>9</v>
      </c>
      <c r="D1501" t="s">
        <v>154</v>
      </c>
      <c r="E1501">
        <v>444</v>
      </c>
      <c r="F1501" t="b">
        <v>1</v>
      </c>
      <c r="G1501" t="str">
        <f>HYPERLINK("https://www.google.com/maps/search/?api=1&amp;query=24.61595565,46.81474386", "View Map")</f>
        <v>View Map</v>
      </c>
    </row>
    <row r="1502" spans="1:7" x14ac:dyDescent="0.3">
      <c r="A1502" t="s">
        <v>2504</v>
      </c>
      <c r="B1502" t="s">
        <v>2505</v>
      </c>
      <c r="C1502" t="s">
        <v>9</v>
      </c>
      <c r="D1502" t="s">
        <v>154</v>
      </c>
      <c r="E1502">
        <v>444</v>
      </c>
      <c r="F1502" t="b">
        <v>1</v>
      </c>
      <c r="G1502" t="str">
        <f>HYPERLINK("https://www.google.com/maps/search/?api=1&amp;query=24.70761085,46.81183148", "View Map")</f>
        <v>View Map</v>
      </c>
    </row>
    <row r="1503" spans="1:7" x14ac:dyDescent="0.3">
      <c r="A1503" t="s">
        <v>2506</v>
      </c>
      <c r="B1503" t="s">
        <v>2507</v>
      </c>
      <c r="C1503" t="s">
        <v>9</v>
      </c>
      <c r="D1503" t="s">
        <v>154</v>
      </c>
      <c r="E1503">
        <v>444</v>
      </c>
      <c r="F1503" t="b">
        <v>1</v>
      </c>
      <c r="G1503" t="str">
        <f>HYPERLINK("https://www.google.com/maps/search/?api=1&amp;query=24.7059,46.70366", "View Map")</f>
        <v>View Map</v>
      </c>
    </row>
    <row r="1504" spans="1:7" x14ac:dyDescent="0.3">
      <c r="A1504" t="s">
        <v>159</v>
      </c>
      <c r="B1504" t="s">
        <v>2508</v>
      </c>
      <c r="C1504" t="s">
        <v>9</v>
      </c>
      <c r="D1504" t="s">
        <v>154</v>
      </c>
      <c r="E1504">
        <v>444</v>
      </c>
      <c r="F1504" t="b">
        <v>1</v>
      </c>
      <c r="G1504" t="str">
        <f>HYPERLINK("https://www.google.com/maps/search/?api=1&amp;query=24.50511626,46.63291877", "View Map")</f>
        <v>View Map</v>
      </c>
    </row>
    <row r="1505" spans="1:7" x14ac:dyDescent="0.3">
      <c r="A1505" t="s">
        <v>2509</v>
      </c>
      <c r="B1505" t="s">
        <v>2510</v>
      </c>
      <c r="C1505" t="s">
        <v>9</v>
      </c>
      <c r="D1505" t="s">
        <v>154</v>
      </c>
      <c r="E1505">
        <v>443</v>
      </c>
      <c r="F1505" t="b">
        <v>1</v>
      </c>
      <c r="G1505" t="str">
        <f>HYPERLINK("https://www.google.com/maps/search/?api=1&amp;query=24.55649386,46.67708684", "View Map")</f>
        <v>View Map</v>
      </c>
    </row>
    <row r="1506" spans="1:7" x14ac:dyDescent="0.3">
      <c r="A1506" t="s">
        <v>2511</v>
      </c>
      <c r="B1506" t="s">
        <v>2512</v>
      </c>
      <c r="C1506" t="s">
        <v>9</v>
      </c>
      <c r="D1506" t="s">
        <v>154</v>
      </c>
      <c r="E1506">
        <v>443</v>
      </c>
      <c r="F1506" t="b">
        <v>1</v>
      </c>
      <c r="G1506" t="str">
        <f>HYPERLINK("https://www.google.com/maps/search/?api=1&amp;query=24.69898014,46.78955452", "View Map")</f>
        <v>View Map</v>
      </c>
    </row>
    <row r="1507" spans="1:7" x14ac:dyDescent="0.3">
      <c r="A1507" t="s">
        <v>27</v>
      </c>
      <c r="B1507" t="s">
        <v>2513</v>
      </c>
      <c r="C1507" t="s">
        <v>9</v>
      </c>
      <c r="D1507" t="s">
        <v>154</v>
      </c>
      <c r="E1507">
        <v>443</v>
      </c>
      <c r="F1507" t="b">
        <v>1</v>
      </c>
      <c r="G1507" t="str">
        <f>HYPERLINK("https://www.google.com/maps/search/?api=1&amp;query=24.8482008,46.81758944", "View Map")</f>
        <v>View Map</v>
      </c>
    </row>
    <row r="1508" spans="1:7" x14ac:dyDescent="0.3">
      <c r="A1508" t="s">
        <v>415</v>
      </c>
      <c r="B1508" t="s">
        <v>2514</v>
      </c>
      <c r="C1508" t="s">
        <v>9</v>
      </c>
      <c r="D1508" t="s">
        <v>154</v>
      </c>
      <c r="E1508">
        <v>443</v>
      </c>
      <c r="F1508" t="b">
        <v>1</v>
      </c>
      <c r="G1508" t="str">
        <f>HYPERLINK("https://www.google.com/maps/search/?api=1&amp;query=24.80349,46.80487", "View Map")</f>
        <v>View Map</v>
      </c>
    </row>
    <row r="1509" spans="1:7" x14ac:dyDescent="0.3">
      <c r="A1509" t="s">
        <v>2515</v>
      </c>
      <c r="B1509" t="s">
        <v>2516</v>
      </c>
      <c r="C1509" t="s">
        <v>9</v>
      </c>
      <c r="D1509" t="s">
        <v>154</v>
      </c>
      <c r="E1509">
        <v>442</v>
      </c>
      <c r="F1509" t="b">
        <v>1</v>
      </c>
      <c r="G1509" t="str">
        <f>HYPERLINK("https://www.google.com/maps/search/?api=1&amp;query=24.67312695,46.72081699", "View Map")</f>
        <v>View Map</v>
      </c>
    </row>
    <row r="1510" spans="1:7" x14ac:dyDescent="0.3">
      <c r="A1510" t="s">
        <v>2517</v>
      </c>
      <c r="B1510" t="s">
        <v>2518</v>
      </c>
      <c r="C1510" t="s">
        <v>9</v>
      </c>
      <c r="D1510" t="s">
        <v>154</v>
      </c>
      <c r="E1510">
        <v>442</v>
      </c>
      <c r="F1510" t="b">
        <v>1</v>
      </c>
      <c r="G1510" t="str">
        <f>HYPERLINK("https://www.google.com/maps/search/?api=1&amp;query=24.53241447,46.65107593", "View Map")</f>
        <v>View Map</v>
      </c>
    </row>
    <row r="1511" spans="1:7" x14ac:dyDescent="0.3">
      <c r="A1511" t="s">
        <v>27</v>
      </c>
      <c r="B1511" t="s">
        <v>2519</v>
      </c>
      <c r="C1511" t="s">
        <v>72</v>
      </c>
      <c r="D1511" t="s">
        <v>154</v>
      </c>
      <c r="E1511">
        <v>442</v>
      </c>
      <c r="F1511" t="b">
        <v>1</v>
      </c>
      <c r="G1511" t="str">
        <f>HYPERLINK("https://www.google.com/maps/search/?api=1&amp;query=24.7453,46.5272", "View Map")</f>
        <v>View Map</v>
      </c>
    </row>
    <row r="1512" spans="1:7" x14ac:dyDescent="0.3">
      <c r="A1512" t="s">
        <v>2520</v>
      </c>
      <c r="B1512" t="s">
        <v>2521</v>
      </c>
      <c r="C1512" t="s">
        <v>9</v>
      </c>
      <c r="D1512" t="s">
        <v>154</v>
      </c>
      <c r="E1512">
        <v>442</v>
      </c>
      <c r="F1512" t="b">
        <v>1</v>
      </c>
      <c r="G1512" t="str">
        <f>HYPERLINK("https://www.google.com/maps/search/?api=1&amp;query=24.78801414,46.62810331", "View Map")</f>
        <v>View Map</v>
      </c>
    </row>
    <row r="1513" spans="1:7" x14ac:dyDescent="0.3">
      <c r="A1513" t="s">
        <v>2522</v>
      </c>
      <c r="B1513" t="s">
        <v>2523</v>
      </c>
      <c r="C1513" t="s">
        <v>9</v>
      </c>
      <c r="D1513" t="s">
        <v>154</v>
      </c>
      <c r="E1513">
        <v>442</v>
      </c>
      <c r="F1513" t="b">
        <v>0</v>
      </c>
      <c r="G1513" t="str">
        <f>HYPERLINK("https://www.google.com/maps/search/?api=1&amp;query=24.68121201,46.8168279", "View Map")</f>
        <v>View Map</v>
      </c>
    </row>
    <row r="1514" spans="1:7" x14ac:dyDescent="0.3">
      <c r="A1514" t="s">
        <v>27</v>
      </c>
      <c r="B1514" t="s">
        <v>2524</v>
      </c>
      <c r="C1514" t="s">
        <v>9</v>
      </c>
      <c r="D1514" t="s">
        <v>154</v>
      </c>
      <c r="E1514">
        <v>441</v>
      </c>
      <c r="F1514" t="b">
        <v>1</v>
      </c>
      <c r="G1514" t="str">
        <f>HYPERLINK("https://www.google.com/maps/search/?api=1&amp;query=24.84240754,46.79025005", "View Map")</f>
        <v>View Map</v>
      </c>
    </row>
    <row r="1515" spans="1:7" x14ac:dyDescent="0.3">
      <c r="A1515" t="s">
        <v>2525</v>
      </c>
      <c r="B1515" t="s">
        <v>2526</v>
      </c>
      <c r="C1515" t="s">
        <v>9</v>
      </c>
      <c r="D1515" t="s">
        <v>154</v>
      </c>
      <c r="E1515">
        <v>441</v>
      </c>
      <c r="F1515" t="b">
        <v>1</v>
      </c>
      <c r="G1515" t="str">
        <f>HYPERLINK("https://www.google.com/maps/search/?api=1&amp;query=24.63134889,46.70200098", "View Map")</f>
        <v>View Map</v>
      </c>
    </row>
    <row r="1516" spans="1:7" x14ac:dyDescent="0.3">
      <c r="A1516" t="s">
        <v>159</v>
      </c>
      <c r="B1516" t="s">
        <v>2527</v>
      </c>
      <c r="C1516" t="s">
        <v>9</v>
      </c>
      <c r="D1516" t="s">
        <v>154</v>
      </c>
      <c r="E1516">
        <v>441</v>
      </c>
      <c r="F1516" t="b">
        <v>1</v>
      </c>
      <c r="G1516" t="str">
        <f>HYPERLINK("https://www.google.com/maps/search/?api=1&amp;query=24.5475,46.5019", "View Map")</f>
        <v>View Map</v>
      </c>
    </row>
    <row r="1517" spans="1:7" x14ac:dyDescent="0.3">
      <c r="A1517" t="s">
        <v>27</v>
      </c>
      <c r="B1517" t="s">
        <v>2528</v>
      </c>
      <c r="C1517" t="s">
        <v>9</v>
      </c>
      <c r="D1517" t="s">
        <v>154</v>
      </c>
      <c r="E1517">
        <v>441</v>
      </c>
      <c r="F1517" t="b">
        <v>1</v>
      </c>
      <c r="G1517" t="str">
        <f>HYPERLINK("https://www.google.com/maps/search/?api=1&amp;query=24.622656,46.52221324", "View Map")</f>
        <v>View Map</v>
      </c>
    </row>
    <row r="1518" spans="1:7" x14ac:dyDescent="0.3">
      <c r="A1518" t="s">
        <v>27</v>
      </c>
      <c r="B1518" t="s">
        <v>2529</v>
      </c>
      <c r="C1518" t="s">
        <v>9</v>
      </c>
      <c r="D1518" t="s">
        <v>154</v>
      </c>
      <c r="E1518">
        <v>441</v>
      </c>
      <c r="F1518" t="b">
        <v>1</v>
      </c>
      <c r="G1518" t="str">
        <f>HYPERLINK("https://www.google.com/maps/search/?api=1&amp;query=24.83766159,46.80180738", "View Map")</f>
        <v>View Map</v>
      </c>
    </row>
    <row r="1519" spans="1:7" x14ac:dyDescent="0.3">
      <c r="A1519" t="s">
        <v>2530</v>
      </c>
      <c r="B1519" t="s">
        <v>2531</v>
      </c>
      <c r="C1519" t="s">
        <v>9</v>
      </c>
      <c r="D1519" t="s">
        <v>154</v>
      </c>
      <c r="E1519">
        <v>441</v>
      </c>
      <c r="F1519" t="b">
        <v>1</v>
      </c>
      <c r="G1519" t="str">
        <f>HYPERLINK("https://www.google.com/maps/search/?api=1&amp;query=24.56246162,46.76567181", "View Map")</f>
        <v>View Map</v>
      </c>
    </row>
    <row r="1520" spans="1:7" x14ac:dyDescent="0.3">
      <c r="A1520" t="s">
        <v>2532</v>
      </c>
      <c r="B1520" t="s">
        <v>2533</v>
      </c>
      <c r="C1520" t="s">
        <v>9</v>
      </c>
      <c r="D1520" t="s">
        <v>154</v>
      </c>
      <c r="E1520">
        <v>441</v>
      </c>
      <c r="F1520" t="b">
        <v>1</v>
      </c>
      <c r="G1520" t="str">
        <f>HYPERLINK("https://www.google.com/maps/search/?api=1&amp;query=24.57502104,46.83168619", "View Map")</f>
        <v>View Map</v>
      </c>
    </row>
    <row r="1521" spans="1:7" x14ac:dyDescent="0.3">
      <c r="A1521" t="s">
        <v>2534</v>
      </c>
      <c r="B1521" t="s">
        <v>2535</v>
      </c>
      <c r="C1521" t="s">
        <v>9</v>
      </c>
      <c r="D1521" t="s">
        <v>154</v>
      </c>
      <c r="E1521">
        <v>441</v>
      </c>
      <c r="F1521" t="b">
        <v>1</v>
      </c>
      <c r="G1521" t="str">
        <f>HYPERLINK("https://www.google.com/maps/search/?api=1&amp;query=24.56940234,46.63376082", "View Map")</f>
        <v>View Map</v>
      </c>
    </row>
    <row r="1522" spans="1:7" x14ac:dyDescent="0.3">
      <c r="A1522" t="s">
        <v>159</v>
      </c>
      <c r="B1522" t="s">
        <v>2536</v>
      </c>
      <c r="C1522" t="s">
        <v>9</v>
      </c>
      <c r="D1522" t="s">
        <v>154</v>
      </c>
      <c r="E1522">
        <v>440</v>
      </c>
      <c r="F1522" t="b">
        <v>1</v>
      </c>
      <c r="G1522" t="str">
        <f>HYPERLINK("https://www.google.com/maps/search/?api=1&amp;query=24.56326244,46.57380798", "View Map")</f>
        <v>View Map</v>
      </c>
    </row>
    <row r="1523" spans="1:7" x14ac:dyDescent="0.3">
      <c r="A1523" t="s">
        <v>2537</v>
      </c>
      <c r="B1523" t="s">
        <v>2538</v>
      </c>
      <c r="C1523" t="s">
        <v>9</v>
      </c>
      <c r="D1523" t="s">
        <v>154</v>
      </c>
      <c r="E1523">
        <v>440</v>
      </c>
      <c r="F1523" t="b">
        <v>0</v>
      </c>
      <c r="G1523" t="str">
        <f>HYPERLINK("https://www.google.com/maps/search/?api=1&amp;query=24.69362563,46.70914528", "View Map")</f>
        <v>View Map</v>
      </c>
    </row>
    <row r="1524" spans="1:7" x14ac:dyDescent="0.3">
      <c r="A1524" t="s">
        <v>2539</v>
      </c>
      <c r="B1524" t="s">
        <v>2540</v>
      </c>
      <c r="C1524" t="s">
        <v>9</v>
      </c>
      <c r="D1524" t="s">
        <v>154</v>
      </c>
      <c r="E1524">
        <v>440</v>
      </c>
      <c r="F1524" t="b">
        <v>1</v>
      </c>
      <c r="G1524" t="str">
        <f>HYPERLINK("https://www.google.com/maps/search/?api=1&amp;query=24.75424432,46.66459586", "View Map")</f>
        <v>View Map</v>
      </c>
    </row>
    <row r="1525" spans="1:7" x14ac:dyDescent="0.3">
      <c r="A1525" t="s">
        <v>2541</v>
      </c>
      <c r="B1525" t="s">
        <v>2542</v>
      </c>
      <c r="C1525" t="s">
        <v>9</v>
      </c>
      <c r="D1525" t="s">
        <v>1715</v>
      </c>
      <c r="E1525">
        <v>440</v>
      </c>
      <c r="F1525" t="b">
        <v>1</v>
      </c>
      <c r="G1525" t="str">
        <f>HYPERLINK("https://www.google.com/maps/search/?api=1&amp;query=24.72058456,46.65218849", "View Map")</f>
        <v>View Map</v>
      </c>
    </row>
    <row r="1526" spans="1:7" x14ac:dyDescent="0.3">
      <c r="A1526" t="s">
        <v>2543</v>
      </c>
      <c r="B1526" t="s">
        <v>2544</v>
      </c>
      <c r="C1526" t="s">
        <v>9</v>
      </c>
      <c r="D1526" t="s">
        <v>154</v>
      </c>
      <c r="E1526">
        <v>440</v>
      </c>
      <c r="F1526" t="b">
        <v>1</v>
      </c>
      <c r="G1526" t="str">
        <f>HYPERLINK("https://www.google.com/maps/search/?api=1&amp;query=24.58809406,46.55910426", "View Map")</f>
        <v>View Map</v>
      </c>
    </row>
    <row r="1527" spans="1:7" x14ac:dyDescent="0.3">
      <c r="A1527" t="s">
        <v>27</v>
      </c>
      <c r="B1527" t="s">
        <v>2545</v>
      </c>
      <c r="C1527" t="s">
        <v>9</v>
      </c>
      <c r="D1527" t="s">
        <v>154</v>
      </c>
      <c r="E1527">
        <v>440</v>
      </c>
      <c r="F1527" t="b">
        <v>1</v>
      </c>
      <c r="G1527" t="str">
        <f>HYPERLINK("https://www.google.com/maps/search/?api=1&amp;query=24.63936591,46.48995104", "View Map")</f>
        <v>View Map</v>
      </c>
    </row>
    <row r="1528" spans="1:7" x14ac:dyDescent="0.3">
      <c r="A1528" t="s">
        <v>2546</v>
      </c>
      <c r="B1528" t="s">
        <v>2547</v>
      </c>
      <c r="C1528" t="s">
        <v>9</v>
      </c>
      <c r="D1528" t="s">
        <v>154</v>
      </c>
      <c r="E1528">
        <v>440</v>
      </c>
      <c r="F1528" t="b">
        <v>1</v>
      </c>
      <c r="G1528" t="str">
        <f>HYPERLINK("https://www.google.com/maps/search/?api=1&amp;query=24.78364555,46.74349542", "View Map")</f>
        <v>View Map</v>
      </c>
    </row>
    <row r="1529" spans="1:7" x14ac:dyDescent="0.3">
      <c r="A1529" t="s">
        <v>27</v>
      </c>
      <c r="B1529" t="s">
        <v>2548</v>
      </c>
      <c r="C1529" t="s">
        <v>9</v>
      </c>
      <c r="D1529" t="s">
        <v>154</v>
      </c>
      <c r="E1529">
        <v>440</v>
      </c>
      <c r="F1529" t="b">
        <v>1</v>
      </c>
      <c r="G1529" t="str">
        <f>HYPERLINK("https://www.google.com/maps/search/?api=1&amp;query=24.74721727,46.62628386", "View Map")</f>
        <v>View Map</v>
      </c>
    </row>
    <row r="1530" spans="1:7" x14ac:dyDescent="0.3">
      <c r="A1530" t="s">
        <v>2549</v>
      </c>
      <c r="B1530" t="s">
        <v>2550</v>
      </c>
      <c r="C1530" t="s">
        <v>9</v>
      </c>
      <c r="D1530" t="s">
        <v>154</v>
      </c>
      <c r="E1530">
        <v>440</v>
      </c>
      <c r="F1530" t="b">
        <v>1</v>
      </c>
      <c r="G1530" t="str">
        <f>HYPERLINK("https://www.google.com/maps/search/?api=1&amp;query=24.56969289,46.77974741", "View Map")</f>
        <v>View Map</v>
      </c>
    </row>
    <row r="1531" spans="1:7" x14ac:dyDescent="0.3">
      <c r="A1531" t="s">
        <v>2551</v>
      </c>
      <c r="B1531" t="s">
        <v>2552</v>
      </c>
      <c r="C1531" t="s">
        <v>9</v>
      </c>
      <c r="D1531" t="s">
        <v>154</v>
      </c>
      <c r="E1531">
        <v>439</v>
      </c>
      <c r="F1531" t="b">
        <v>1</v>
      </c>
      <c r="G1531" t="str">
        <f>HYPERLINK("https://www.google.com/maps/search/?api=1&amp;query=24.60165855,46.61706019", "View Map")</f>
        <v>View Map</v>
      </c>
    </row>
    <row r="1532" spans="1:7" x14ac:dyDescent="0.3">
      <c r="A1532" t="s">
        <v>27</v>
      </c>
      <c r="B1532" t="s">
        <v>2553</v>
      </c>
      <c r="C1532" t="s">
        <v>9</v>
      </c>
      <c r="D1532" t="s">
        <v>154</v>
      </c>
      <c r="E1532">
        <v>439</v>
      </c>
      <c r="F1532" t="b">
        <v>0</v>
      </c>
      <c r="G1532" t="str">
        <f>HYPERLINK("https://www.google.com/maps/search/?api=1&amp;query=0.0,0.0", "View Map")</f>
        <v>View Map</v>
      </c>
    </row>
    <row r="1533" spans="1:7" x14ac:dyDescent="0.3">
      <c r="A1533" t="s">
        <v>406</v>
      </c>
      <c r="B1533" t="s">
        <v>2554</v>
      </c>
      <c r="C1533" t="s">
        <v>9</v>
      </c>
      <c r="D1533" t="s">
        <v>154</v>
      </c>
      <c r="E1533">
        <v>439</v>
      </c>
      <c r="F1533" t="b">
        <v>1</v>
      </c>
      <c r="G1533" t="str">
        <f>HYPERLINK("https://www.google.com/maps/search/?api=1&amp;query=24.78675534,46.69088504", "View Map")</f>
        <v>View Map</v>
      </c>
    </row>
    <row r="1534" spans="1:7" x14ac:dyDescent="0.3">
      <c r="A1534" t="s">
        <v>2555</v>
      </c>
      <c r="B1534" t="s">
        <v>2556</v>
      </c>
      <c r="C1534" t="s">
        <v>9</v>
      </c>
      <c r="D1534" t="s">
        <v>154</v>
      </c>
      <c r="E1534">
        <v>439</v>
      </c>
      <c r="F1534" t="b">
        <v>1</v>
      </c>
      <c r="G1534" t="str">
        <f>HYPERLINK("https://www.google.com/maps/search/?api=1&amp;query=24.75861569,46.68282007", "View Map")</f>
        <v>View Map</v>
      </c>
    </row>
    <row r="1535" spans="1:7" x14ac:dyDescent="0.3">
      <c r="A1535" t="s">
        <v>2557</v>
      </c>
      <c r="B1535" t="s">
        <v>2558</v>
      </c>
      <c r="C1535" t="s">
        <v>9</v>
      </c>
      <c r="D1535" t="s">
        <v>154</v>
      </c>
      <c r="E1535">
        <v>438</v>
      </c>
      <c r="F1535" t="b">
        <v>1</v>
      </c>
      <c r="G1535" t="str">
        <f>HYPERLINK("https://www.google.com/maps/search/?api=1&amp;query=24.57815744,46.69922591", "View Map")</f>
        <v>View Map</v>
      </c>
    </row>
    <row r="1536" spans="1:7" x14ac:dyDescent="0.3">
      <c r="A1536" t="s">
        <v>2559</v>
      </c>
      <c r="B1536" t="s">
        <v>2560</v>
      </c>
      <c r="C1536" t="s">
        <v>9</v>
      </c>
      <c r="D1536" t="s">
        <v>154</v>
      </c>
      <c r="E1536">
        <v>438</v>
      </c>
      <c r="F1536" t="b">
        <v>1</v>
      </c>
      <c r="G1536" t="str">
        <f>HYPERLINK("https://www.google.com/maps/search/?api=1&amp;query=24.73894872,46.78983778", "View Map")</f>
        <v>View Map</v>
      </c>
    </row>
    <row r="1537" spans="1:7" x14ac:dyDescent="0.3">
      <c r="A1537" t="s">
        <v>27</v>
      </c>
      <c r="B1537" t="s">
        <v>2561</v>
      </c>
      <c r="C1537" t="s">
        <v>9</v>
      </c>
      <c r="D1537" t="s">
        <v>154</v>
      </c>
      <c r="E1537">
        <v>438</v>
      </c>
      <c r="F1537" t="b">
        <v>1</v>
      </c>
      <c r="G1537" t="str">
        <f>HYPERLINK("https://www.google.com/maps/search/?api=1&amp;query=24.8292,46.7397", "View Map")</f>
        <v>View Map</v>
      </c>
    </row>
    <row r="1538" spans="1:7" x14ac:dyDescent="0.3">
      <c r="A1538" t="s">
        <v>2562</v>
      </c>
      <c r="B1538" t="s">
        <v>2563</v>
      </c>
      <c r="C1538" t="s">
        <v>9</v>
      </c>
      <c r="D1538" t="s">
        <v>154</v>
      </c>
      <c r="E1538">
        <v>438</v>
      </c>
      <c r="F1538" t="b">
        <v>1</v>
      </c>
      <c r="G1538" t="str">
        <f>HYPERLINK("https://www.google.com/maps/search/?api=1&amp;query=24.75826619,46.67389481", "View Map")</f>
        <v>View Map</v>
      </c>
    </row>
    <row r="1539" spans="1:7" x14ac:dyDescent="0.3">
      <c r="A1539" t="s">
        <v>2564</v>
      </c>
      <c r="B1539" t="s">
        <v>2565</v>
      </c>
      <c r="C1539" t="s">
        <v>9</v>
      </c>
      <c r="D1539" t="s">
        <v>154</v>
      </c>
      <c r="E1539">
        <v>438</v>
      </c>
      <c r="F1539" t="b">
        <v>1</v>
      </c>
      <c r="G1539" t="str">
        <f>HYPERLINK("https://www.google.com/maps/search/?api=1&amp;query=24.78295897,46.64679276", "View Map")</f>
        <v>View Map</v>
      </c>
    </row>
    <row r="1540" spans="1:7" x14ac:dyDescent="0.3">
      <c r="A1540" t="s">
        <v>2566</v>
      </c>
      <c r="B1540" t="s">
        <v>2567</v>
      </c>
      <c r="C1540" t="s">
        <v>9</v>
      </c>
      <c r="D1540" t="s">
        <v>154</v>
      </c>
      <c r="E1540">
        <v>437</v>
      </c>
      <c r="F1540" t="b">
        <v>1</v>
      </c>
      <c r="G1540" t="str">
        <f>HYPERLINK("https://www.google.com/maps/search/?api=1&amp;query=24.67620514,46.82159739", "View Map")</f>
        <v>View Map</v>
      </c>
    </row>
    <row r="1541" spans="1:7" x14ac:dyDescent="0.3">
      <c r="A1541" t="s">
        <v>2568</v>
      </c>
      <c r="B1541" t="s">
        <v>2569</v>
      </c>
      <c r="C1541" t="s">
        <v>9</v>
      </c>
      <c r="D1541" t="s">
        <v>154</v>
      </c>
      <c r="E1541">
        <v>437</v>
      </c>
      <c r="F1541" t="b">
        <v>1</v>
      </c>
      <c r="G1541" t="str">
        <f>HYPERLINK("https://www.google.com/maps/search/?api=1&amp;query=24.65144175,46.57815229", "View Map")</f>
        <v>View Map</v>
      </c>
    </row>
    <row r="1542" spans="1:7" x14ac:dyDescent="0.3">
      <c r="A1542" t="s">
        <v>2570</v>
      </c>
      <c r="B1542" t="s">
        <v>2571</v>
      </c>
      <c r="C1542" t="s">
        <v>9</v>
      </c>
      <c r="D1542" t="s">
        <v>154</v>
      </c>
      <c r="E1542">
        <v>437</v>
      </c>
      <c r="F1542" t="b">
        <v>1</v>
      </c>
      <c r="G1542" t="str">
        <f>HYPERLINK("https://www.google.com/maps/search/?api=1&amp;query=24.67718239,46.85305015", "View Map")</f>
        <v>View Map</v>
      </c>
    </row>
    <row r="1543" spans="1:7" x14ac:dyDescent="0.3">
      <c r="A1543" t="s">
        <v>2572</v>
      </c>
      <c r="B1543" t="s">
        <v>2573</v>
      </c>
      <c r="C1543" t="s">
        <v>9</v>
      </c>
      <c r="D1543" t="s">
        <v>154</v>
      </c>
      <c r="E1543">
        <v>437</v>
      </c>
      <c r="F1543" t="b">
        <v>1</v>
      </c>
      <c r="G1543" t="str">
        <f>HYPERLINK("https://www.google.com/maps/search/?api=1&amp;query=24.7016169,46.7738958", "View Map")</f>
        <v>View Map</v>
      </c>
    </row>
    <row r="1544" spans="1:7" x14ac:dyDescent="0.3">
      <c r="A1544" t="s">
        <v>2574</v>
      </c>
      <c r="B1544" t="s">
        <v>2575</v>
      </c>
      <c r="C1544" t="s">
        <v>72</v>
      </c>
      <c r="D1544" t="s">
        <v>154</v>
      </c>
      <c r="E1544">
        <v>436</v>
      </c>
      <c r="F1544" t="b">
        <v>1</v>
      </c>
      <c r="G1544" t="str">
        <f>HYPERLINK("https://www.google.com/maps/search/?api=1&amp;query=24.74571002,46.35579148", "View Map")</f>
        <v>View Map</v>
      </c>
    </row>
    <row r="1545" spans="1:7" x14ac:dyDescent="0.3">
      <c r="A1545" t="s">
        <v>27</v>
      </c>
      <c r="B1545" t="s">
        <v>2576</v>
      </c>
      <c r="C1545" t="s">
        <v>9</v>
      </c>
      <c r="D1545" t="s">
        <v>154</v>
      </c>
      <c r="E1545">
        <v>436</v>
      </c>
      <c r="F1545" t="b">
        <v>1</v>
      </c>
      <c r="G1545" t="str">
        <f>HYPERLINK("https://www.google.com/maps/search/?api=1&amp;query=24.84402774,46.82158765", "View Map")</f>
        <v>View Map</v>
      </c>
    </row>
    <row r="1546" spans="1:7" x14ac:dyDescent="0.3">
      <c r="A1546" t="s">
        <v>19</v>
      </c>
      <c r="B1546" t="s">
        <v>2577</v>
      </c>
      <c r="C1546" t="s">
        <v>9</v>
      </c>
      <c r="D1546" t="s">
        <v>154</v>
      </c>
      <c r="E1546">
        <v>436</v>
      </c>
      <c r="F1546" t="b">
        <v>1</v>
      </c>
      <c r="G1546" t="str">
        <f>HYPERLINK("https://www.google.com/maps/search/?api=1&amp;query=24.62463958,46.52681672", "View Map")</f>
        <v>View Map</v>
      </c>
    </row>
    <row r="1547" spans="1:7" x14ac:dyDescent="0.3">
      <c r="A1547" t="s">
        <v>390</v>
      </c>
      <c r="B1547" t="s">
        <v>2578</v>
      </c>
      <c r="C1547" t="s">
        <v>9</v>
      </c>
      <c r="D1547" t="s">
        <v>154</v>
      </c>
      <c r="E1547">
        <v>436</v>
      </c>
      <c r="F1547" t="b">
        <v>1</v>
      </c>
      <c r="G1547" t="str">
        <f>HYPERLINK("https://www.google.com/maps/search/?api=1&amp;query=24.81156308,46.65588961", "View Map")</f>
        <v>View Map</v>
      </c>
    </row>
    <row r="1548" spans="1:7" x14ac:dyDescent="0.3">
      <c r="A1548" t="s">
        <v>2579</v>
      </c>
      <c r="B1548" t="s">
        <v>2580</v>
      </c>
      <c r="C1548" t="s">
        <v>9</v>
      </c>
      <c r="D1548" t="s">
        <v>154</v>
      </c>
      <c r="E1548">
        <v>436</v>
      </c>
      <c r="F1548" t="b">
        <v>1</v>
      </c>
      <c r="G1548" t="str">
        <f>HYPERLINK("https://www.google.com/maps/search/?api=1&amp;query=24.78367714,46.71603454", "View Map")</f>
        <v>View Map</v>
      </c>
    </row>
    <row r="1549" spans="1:7" x14ac:dyDescent="0.3">
      <c r="A1549" t="s">
        <v>569</v>
      </c>
      <c r="B1549" t="s">
        <v>2581</v>
      </c>
      <c r="C1549" t="s">
        <v>9</v>
      </c>
      <c r="D1549" t="s">
        <v>154</v>
      </c>
      <c r="E1549">
        <v>436</v>
      </c>
      <c r="F1549" t="b">
        <v>1</v>
      </c>
      <c r="G1549" t="str">
        <f>HYPERLINK("https://www.google.com/maps/search/?api=1&amp;query=24.57371662,46.83684181", "View Map")</f>
        <v>View Map</v>
      </c>
    </row>
    <row r="1550" spans="1:7" x14ac:dyDescent="0.3">
      <c r="A1550" t="s">
        <v>2582</v>
      </c>
      <c r="B1550" t="s">
        <v>2583</v>
      </c>
      <c r="C1550" t="s">
        <v>9</v>
      </c>
      <c r="D1550" t="s">
        <v>154</v>
      </c>
      <c r="E1550">
        <v>436</v>
      </c>
      <c r="F1550" t="b">
        <v>1</v>
      </c>
      <c r="G1550" t="str">
        <f>HYPERLINK("https://www.google.com/maps/search/?api=1&amp;query=24.7583,46.7833", "View Map")</f>
        <v>View Map</v>
      </c>
    </row>
    <row r="1551" spans="1:7" x14ac:dyDescent="0.3">
      <c r="A1551" t="s">
        <v>2584</v>
      </c>
      <c r="B1551" t="s">
        <v>2585</v>
      </c>
      <c r="C1551" t="s">
        <v>9</v>
      </c>
      <c r="D1551" t="s">
        <v>154</v>
      </c>
      <c r="E1551">
        <v>435</v>
      </c>
      <c r="F1551" t="b">
        <v>1</v>
      </c>
      <c r="G1551" t="str">
        <f>HYPERLINK("https://www.google.com/maps/search/?api=1&amp;query=24.8124717,46.63054777", "View Map")</f>
        <v>View Map</v>
      </c>
    </row>
    <row r="1552" spans="1:7" x14ac:dyDescent="0.3">
      <c r="A1552" t="s">
        <v>2586</v>
      </c>
      <c r="B1552" t="s">
        <v>2587</v>
      </c>
      <c r="C1552" t="s">
        <v>9</v>
      </c>
      <c r="D1552" t="s">
        <v>154</v>
      </c>
      <c r="E1552">
        <v>435</v>
      </c>
      <c r="F1552" t="b">
        <v>1</v>
      </c>
      <c r="G1552" t="str">
        <f>HYPERLINK("https://www.google.com/maps/search/?api=1&amp;query=24.59739254,46.70651971", "View Map")</f>
        <v>View Map</v>
      </c>
    </row>
    <row r="1553" spans="1:7" x14ac:dyDescent="0.3">
      <c r="A1553" t="s">
        <v>2588</v>
      </c>
      <c r="B1553" t="s">
        <v>2589</v>
      </c>
      <c r="C1553" t="s">
        <v>9</v>
      </c>
      <c r="D1553" t="s">
        <v>154</v>
      </c>
      <c r="E1553">
        <v>435</v>
      </c>
      <c r="F1553" t="b">
        <v>1</v>
      </c>
      <c r="G1553" t="str">
        <f>HYPERLINK("https://www.google.com/maps/search/?api=1&amp;query=24.72942312,46.6485086", "View Map")</f>
        <v>View Map</v>
      </c>
    </row>
    <row r="1554" spans="1:7" x14ac:dyDescent="0.3">
      <c r="A1554" t="s">
        <v>159</v>
      </c>
      <c r="B1554" t="s">
        <v>2590</v>
      </c>
      <c r="C1554" t="s">
        <v>9</v>
      </c>
      <c r="D1554" t="s">
        <v>154</v>
      </c>
      <c r="E1554">
        <v>435</v>
      </c>
      <c r="F1554" t="b">
        <v>0</v>
      </c>
      <c r="G1554" t="str">
        <f>HYPERLINK("https://www.google.com/maps/search/?api=1&amp;query=0.0,0.0", "View Map")</f>
        <v>View Map</v>
      </c>
    </row>
    <row r="1555" spans="1:7" x14ac:dyDescent="0.3">
      <c r="A1555" t="s">
        <v>27</v>
      </c>
      <c r="B1555" t="s">
        <v>2591</v>
      </c>
      <c r="C1555" t="s">
        <v>9</v>
      </c>
      <c r="D1555" t="s">
        <v>154</v>
      </c>
      <c r="E1555">
        <v>435</v>
      </c>
      <c r="F1555" t="b">
        <v>1</v>
      </c>
      <c r="G1555" t="str">
        <f>HYPERLINK("https://www.google.com/maps/search/?api=1&amp;query=24.74721727,46.62628386", "View Map")</f>
        <v>View Map</v>
      </c>
    </row>
    <row r="1556" spans="1:7" x14ac:dyDescent="0.3">
      <c r="A1556" t="s">
        <v>159</v>
      </c>
      <c r="B1556" t="s">
        <v>2592</v>
      </c>
      <c r="C1556" t="s">
        <v>9</v>
      </c>
      <c r="D1556" t="s">
        <v>154</v>
      </c>
      <c r="E1556">
        <v>434</v>
      </c>
      <c r="F1556" t="b">
        <v>1</v>
      </c>
      <c r="G1556" t="str">
        <f>HYPERLINK("https://www.google.com/maps/search/?api=1&amp;query=24.57034367,46.54960131", "View Map")</f>
        <v>View Map</v>
      </c>
    </row>
    <row r="1557" spans="1:7" x14ac:dyDescent="0.3">
      <c r="A1557" t="s">
        <v>27</v>
      </c>
      <c r="B1557" t="s">
        <v>2593</v>
      </c>
      <c r="C1557" t="s">
        <v>9</v>
      </c>
      <c r="D1557" t="s">
        <v>154</v>
      </c>
      <c r="E1557">
        <v>434</v>
      </c>
      <c r="F1557" t="b">
        <v>1</v>
      </c>
      <c r="G1557" t="str">
        <f>HYPERLINK("https://www.google.com/maps/search/?api=1&amp;query=24.66901416,46.54254677", "View Map")</f>
        <v>View Map</v>
      </c>
    </row>
    <row r="1558" spans="1:7" x14ac:dyDescent="0.3">
      <c r="A1558" t="s">
        <v>2594</v>
      </c>
      <c r="B1558" t="s">
        <v>2595</v>
      </c>
      <c r="C1558" t="s">
        <v>9</v>
      </c>
      <c r="D1558" t="s">
        <v>154</v>
      </c>
      <c r="E1558">
        <v>434</v>
      </c>
      <c r="F1558" t="b">
        <v>1</v>
      </c>
      <c r="G1558" t="str">
        <f>HYPERLINK("https://www.google.com/maps/search/?api=1&amp;query=24.79987267,46.87013012", "View Map")</f>
        <v>View Map</v>
      </c>
    </row>
    <row r="1559" spans="1:7" x14ac:dyDescent="0.3">
      <c r="A1559" t="s">
        <v>27</v>
      </c>
      <c r="B1559" t="s">
        <v>2596</v>
      </c>
      <c r="C1559" t="s">
        <v>9</v>
      </c>
      <c r="D1559" t="s">
        <v>154</v>
      </c>
      <c r="E1559">
        <v>434</v>
      </c>
      <c r="F1559" t="b">
        <v>1</v>
      </c>
      <c r="G1559" t="str">
        <f>HYPERLINK("https://www.google.com/maps/search/?api=1&amp;query=24.83623824,46.76173705", "View Map")</f>
        <v>View Map</v>
      </c>
    </row>
    <row r="1560" spans="1:7" x14ac:dyDescent="0.3">
      <c r="A1560" t="s">
        <v>2597</v>
      </c>
      <c r="B1560" t="s">
        <v>2598</v>
      </c>
      <c r="C1560" t="s">
        <v>9</v>
      </c>
      <c r="D1560" t="s">
        <v>154</v>
      </c>
      <c r="E1560">
        <v>434</v>
      </c>
      <c r="F1560" t="b">
        <v>0</v>
      </c>
      <c r="G1560" t="str">
        <f>HYPERLINK("https://www.google.com/maps/search/?api=1&amp;query=24.567964,46.66483772", "View Map")</f>
        <v>View Map</v>
      </c>
    </row>
    <row r="1561" spans="1:7" x14ac:dyDescent="0.3">
      <c r="A1561" t="s">
        <v>27</v>
      </c>
      <c r="B1561" t="s">
        <v>2599</v>
      </c>
      <c r="C1561" t="s">
        <v>9</v>
      </c>
      <c r="D1561" t="s">
        <v>154</v>
      </c>
      <c r="E1561">
        <v>433</v>
      </c>
      <c r="F1561" t="b">
        <v>1</v>
      </c>
      <c r="G1561" t="str">
        <f>HYPERLINK("https://www.google.com/maps/search/?api=1&amp;query=24.60646472,46.50887128", "View Map")</f>
        <v>View Map</v>
      </c>
    </row>
    <row r="1562" spans="1:7" x14ac:dyDescent="0.3">
      <c r="A1562" t="s">
        <v>27</v>
      </c>
      <c r="B1562" t="s">
        <v>2600</v>
      </c>
      <c r="C1562" t="s">
        <v>72</v>
      </c>
      <c r="D1562" t="s">
        <v>154</v>
      </c>
      <c r="E1562">
        <v>433</v>
      </c>
      <c r="F1562" t="b">
        <v>1</v>
      </c>
      <c r="G1562" t="str">
        <f>HYPERLINK("https://www.google.com/maps/search/?api=1&amp;query=24.90794455,46.43028429", "View Map")</f>
        <v>View Map</v>
      </c>
    </row>
    <row r="1563" spans="1:7" x14ac:dyDescent="0.3">
      <c r="A1563" t="s">
        <v>159</v>
      </c>
      <c r="B1563" t="s">
        <v>2601</v>
      </c>
      <c r="C1563" t="s">
        <v>9</v>
      </c>
      <c r="D1563" t="s">
        <v>154</v>
      </c>
      <c r="E1563">
        <v>432</v>
      </c>
      <c r="F1563" t="b">
        <v>0</v>
      </c>
      <c r="G1563" t="str">
        <f>HYPERLINK("https://www.google.com/maps/search/?api=1&amp;query=24.56925677,46.55913179", "View Map")</f>
        <v>View Map</v>
      </c>
    </row>
    <row r="1564" spans="1:7" x14ac:dyDescent="0.3">
      <c r="A1564" t="s">
        <v>2602</v>
      </c>
      <c r="B1564" t="s">
        <v>2603</v>
      </c>
      <c r="C1564" t="s">
        <v>9</v>
      </c>
      <c r="D1564" t="s">
        <v>154</v>
      </c>
      <c r="E1564">
        <v>432</v>
      </c>
      <c r="F1564" t="b">
        <v>0</v>
      </c>
      <c r="G1564" t="str">
        <f>HYPERLINK("https://www.google.com/maps/search/?api=1&amp;query=24.74495296,46.82032325", "View Map")</f>
        <v>View Map</v>
      </c>
    </row>
    <row r="1565" spans="1:7" x14ac:dyDescent="0.3">
      <c r="A1565" t="s">
        <v>27</v>
      </c>
      <c r="B1565" t="s">
        <v>2604</v>
      </c>
      <c r="C1565" t="s">
        <v>9</v>
      </c>
      <c r="D1565" t="s">
        <v>154</v>
      </c>
      <c r="E1565">
        <v>432</v>
      </c>
      <c r="F1565" t="b">
        <v>1</v>
      </c>
      <c r="G1565" t="str">
        <f>HYPERLINK("https://www.google.com/maps/search/?api=1&amp;query=24.88832178,46.63600145", "View Map")</f>
        <v>View Map</v>
      </c>
    </row>
    <row r="1566" spans="1:7" x14ac:dyDescent="0.3">
      <c r="A1566" t="s">
        <v>2605</v>
      </c>
      <c r="B1566" t="s">
        <v>2606</v>
      </c>
      <c r="C1566" t="s">
        <v>9</v>
      </c>
      <c r="D1566" t="s">
        <v>154</v>
      </c>
      <c r="E1566">
        <v>431</v>
      </c>
      <c r="F1566" t="b">
        <v>1</v>
      </c>
      <c r="G1566" t="str">
        <f>HYPERLINK("https://www.google.com/maps/search/?api=1&amp;query=24.59860619,46.60744027", "View Map")</f>
        <v>View Map</v>
      </c>
    </row>
    <row r="1567" spans="1:7" x14ac:dyDescent="0.3">
      <c r="A1567" t="s">
        <v>2607</v>
      </c>
      <c r="B1567" t="s">
        <v>2608</v>
      </c>
      <c r="C1567" t="s">
        <v>9</v>
      </c>
      <c r="D1567" t="s">
        <v>154</v>
      </c>
      <c r="E1567">
        <v>431</v>
      </c>
      <c r="F1567" t="b">
        <v>1</v>
      </c>
      <c r="G1567" t="str">
        <f>HYPERLINK("https://www.google.com/maps/search/?api=1&amp;query=24.77136506,46.77602207", "View Map")</f>
        <v>View Map</v>
      </c>
    </row>
    <row r="1568" spans="1:7" x14ac:dyDescent="0.3">
      <c r="A1568" t="s">
        <v>27</v>
      </c>
      <c r="B1568" t="s">
        <v>2609</v>
      </c>
      <c r="C1568" t="s">
        <v>9</v>
      </c>
      <c r="D1568" t="s">
        <v>154</v>
      </c>
      <c r="E1568">
        <v>431</v>
      </c>
      <c r="F1568" t="b">
        <v>1</v>
      </c>
      <c r="G1568" t="str">
        <f>HYPERLINK("https://www.google.com/maps/search/?api=1&amp;query=24.70035436,46.69717708", "View Map")</f>
        <v>View Map</v>
      </c>
    </row>
    <row r="1569" spans="1:7" x14ac:dyDescent="0.3">
      <c r="A1569" t="s">
        <v>2610</v>
      </c>
      <c r="B1569" t="s">
        <v>2611</v>
      </c>
      <c r="C1569" t="s">
        <v>9</v>
      </c>
      <c r="D1569" t="s">
        <v>154</v>
      </c>
      <c r="E1569">
        <v>431</v>
      </c>
      <c r="F1569" t="b">
        <v>1</v>
      </c>
      <c r="G1569" t="str">
        <f>HYPERLINK("https://www.google.com/maps/search/?api=1&amp;query=24.56774478,46.65163705", "View Map")</f>
        <v>View Map</v>
      </c>
    </row>
    <row r="1570" spans="1:7" x14ac:dyDescent="0.3">
      <c r="A1570" t="s">
        <v>2612</v>
      </c>
      <c r="B1570" t="s">
        <v>2613</v>
      </c>
      <c r="C1570" t="s">
        <v>9</v>
      </c>
      <c r="D1570" t="s">
        <v>154</v>
      </c>
      <c r="E1570">
        <v>431</v>
      </c>
      <c r="F1570" t="b">
        <v>1</v>
      </c>
      <c r="G1570" t="str">
        <f>HYPERLINK("https://www.google.com/maps/search/?api=1&amp;query=24.70187815,46.85983424", "View Map")</f>
        <v>View Map</v>
      </c>
    </row>
    <row r="1571" spans="1:7" x14ac:dyDescent="0.3">
      <c r="A1571" t="s">
        <v>2614</v>
      </c>
      <c r="B1571" t="s">
        <v>2615</v>
      </c>
      <c r="C1571" t="s">
        <v>9</v>
      </c>
      <c r="D1571" t="s">
        <v>154</v>
      </c>
      <c r="E1571">
        <v>431</v>
      </c>
      <c r="F1571" t="b">
        <v>1</v>
      </c>
      <c r="G1571" t="str">
        <f>HYPERLINK("https://www.google.com/maps/search/?api=1&amp;query=24.78753967,46.67607239", "View Map")</f>
        <v>View Map</v>
      </c>
    </row>
    <row r="1572" spans="1:7" x14ac:dyDescent="0.3">
      <c r="A1572" t="s">
        <v>2107</v>
      </c>
      <c r="B1572" t="s">
        <v>2616</v>
      </c>
      <c r="C1572" t="s">
        <v>9</v>
      </c>
      <c r="D1572" t="s">
        <v>154</v>
      </c>
      <c r="E1572">
        <v>430</v>
      </c>
      <c r="F1572" t="b">
        <v>1</v>
      </c>
      <c r="G1572" t="str">
        <f>HYPERLINK("https://www.google.com/maps/search/?api=1&amp;query=24.55837181,46.68229848", "View Map")</f>
        <v>View Map</v>
      </c>
    </row>
    <row r="1573" spans="1:7" x14ac:dyDescent="0.3">
      <c r="A1573" t="s">
        <v>2617</v>
      </c>
      <c r="B1573" t="s">
        <v>2618</v>
      </c>
      <c r="C1573" t="s">
        <v>9</v>
      </c>
      <c r="D1573" t="s">
        <v>154</v>
      </c>
      <c r="E1573">
        <v>430</v>
      </c>
      <c r="F1573" t="b">
        <v>1</v>
      </c>
      <c r="G1573" t="str">
        <f>HYPERLINK("https://www.google.com/maps/search/?api=1&amp;query=24.81176894,46.59821957", "View Map")</f>
        <v>View Map</v>
      </c>
    </row>
    <row r="1574" spans="1:7" x14ac:dyDescent="0.3">
      <c r="A1574" t="s">
        <v>2619</v>
      </c>
      <c r="B1574" t="s">
        <v>2620</v>
      </c>
      <c r="C1574" t="s">
        <v>9</v>
      </c>
      <c r="D1574" t="s">
        <v>154</v>
      </c>
      <c r="E1574">
        <v>429</v>
      </c>
      <c r="F1574" t="b">
        <v>0</v>
      </c>
      <c r="G1574" t="str">
        <f>HYPERLINK("https://www.google.com/maps/search/?api=1&amp;query=24.58354982,46.79117141", "View Map")</f>
        <v>View Map</v>
      </c>
    </row>
    <row r="1575" spans="1:7" x14ac:dyDescent="0.3">
      <c r="A1575" t="s">
        <v>159</v>
      </c>
      <c r="B1575" t="s">
        <v>2621</v>
      </c>
      <c r="C1575" t="s">
        <v>9</v>
      </c>
      <c r="D1575" t="s">
        <v>154</v>
      </c>
      <c r="E1575">
        <v>429</v>
      </c>
      <c r="F1575" t="b">
        <v>1</v>
      </c>
      <c r="G1575" t="str">
        <f>HYPERLINK("https://www.google.com/maps/search/?api=1&amp;query=24.5508,46.5658", "View Map")</f>
        <v>View Map</v>
      </c>
    </row>
    <row r="1576" spans="1:7" x14ac:dyDescent="0.3">
      <c r="A1576" t="s">
        <v>2622</v>
      </c>
      <c r="B1576" t="s">
        <v>2623</v>
      </c>
      <c r="C1576" t="s">
        <v>9</v>
      </c>
      <c r="D1576" t="s">
        <v>154</v>
      </c>
      <c r="E1576">
        <v>429</v>
      </c>
      <c r="F1576" t="b">
        <v>1</v>
      </c>
      <c r="G1576" t="str">
        <f>HYPERLINK("https://www.google.com/maps/search/?api=1&amp;query=24.68219712,46.70444767", "View Map")</f>
        <v>View Map</v>
      </c>
    </row>
    <row r="1577" spans="1:7" x14ac:dyDescent="0.3">
      <c r="A1577" t="s">
        <v>2624</v>
      </c>
      <c r="B1577" t="s">
        <v>2625</v>
      </c>
      <c r="C1577" t="s">
        <v>9</v>
      </c>
      <c r="D1577" t="s">
        <v>154</v>
      </c>
      <c r="E1577">
        <v>429</v>
      </c>
      <c r="F1577" t="b">
        <v>0</v>
      </c>
      <c r="G1577" t="str">
        <f>HYPERLINK("https://www.google.com/maps/search/?api=1&amp;query=24.82480423,46.73719783", "View Map")</f>
        <v>View Map</v>
      </c>
    </row>
    <row r="1578" spans="1:7" x14ac:dyDescent="0.3">
      <c r="A1578" t="s">
        <v>2626</v>
      </c>
      <c r="B1578" t="s">
        <v>2627</v>
      </c>
      <c r="C1578" t="s">
        <v>9</v>
      </c>
      <c r="D1578" t="s">
        <v>154</v>
      </c>
      <c r="E1578">
        <v>429</v>
      </c>
      <c r="F1578" t="b">
        <v>1</v>
      </c>
      <c r="G1578" t="str">
        <f>HYPERLINK("https://www.google.com/maps/search/?api=1&amp;query=24.77589286,46.68995651", "View Map")</f>
        <v>View Map</v>
      </c>
    </row>
    <row r="1579" spans="1:7" x14ac:dyDescent="0.3">
      <c r="A1579" t="s">
        <v>2628</v>
      </c>
      <c r="B1579" t="s">
        <v>2629</v>
      </c>
      <c r="C1579" t="s">
        <v>9</v>
      </c>
      <c r="D1579" t="s">
        <v>154</v>
      </c>
      <c r="E1579">
        <v>429</v>
      </c>
      <c r="F1579" t="b">
        <v>1</v>
      </c>
      <c r="G1579" t="str">
        <f>HYPERLINK("https://www.google.com/maps/search/?api=1&amp;query=24.59706643,46.71622342", "View Map")</f>
        <v>View Map</v>
      </c>
    </row>
    <row r="1580" spans="1:7" x14ac:dyDescent="0.3">
      <c r="A1580" t="s">
        <v>27</v>
      </c>
      <c r="B1580" t="s">
        <v>2630</v>
      </c>
      <c r="C1580" t="s">
        <v>9</v>
      </c>
      <c r="D1580" t="s">
        <v>154</v>
      </c>
      <c r="E1580">
        <v>429</v>
      </c>
      <c r="F1580" t="b">
        <v>1</v>
      </c>
      <c r="G1580" t="str">
        <f>HYPERLINK("https://www.google.com/maps/search/?api=1&amp;query=24.61917,46.50129", "View Map")</f>
        <v>View Map</v>
      </c>
    </row>
    <row r="1581" spans="1:7" x14ac:dyDescent="0.3">
      <c r="A1581" t="s">
        <v>2631</v>
      </c>
      <c r="B1581" t="s">
        <v>2632</v>
      </c>
      <c r="C1581" t="s">
        <v>9</v>
      </c>
      <c r="D1581" t="s">
        <v>154</v>
      </c>
      <c r="E1581">
        <v>428</v>
      </c>
      <c r="F1581" t="b">
        <v>1</v>
      </c>
      <c r="G1581" t="str">
        <f>HYPERLINK("https://www.google.com/maps/search/?api=1&amp;query=24.61098195,46.60350751", "View Map")</f>
        <v>View Map</v>
      </c>
    </row>
    <row r="1582" spans="1:7" x14ac:dyDescent="0.3">
      <c r="A1582" t="s">
        <v>2633</v>
      </c>
      <c r="B1582" t="s">
        <v>2634</v>
      </c>
      <c r="C1582" t="s">
        <v>9</v>
      </c>
      <c r="D1582" t="s">
        <v>154</v>
      </c>
      <c r="E1582">
        <v>428</v>
      </c>
      <c r="F1582" t="b">
        <v>0</v>
      </c>
      <c r="G1582" t="str">
        <f>HYPERLINK("https://www.google.com/maps/search/?api=1&amp;query=24.68331671,46.82461256", "View Map")</f>
        <v>View Map</v>
      </c>
    </row>
    <row r="1583" spans="1:7" x14ac:dyDescent="0.3">
      <c r="A1583" t="s">
        <v>2635</v>
      </c>
      <c r="B1583" t="s">
        <v>2636</v>
      </c>
      <c r="C1583" t="s">
        <v>9</v>
      </c>
      <c r="D1583" t="s">
        <v>154</v>
      </c>
      <c r="E1583">
        <v>428</v>
      </c>
      <c r="F1583" t="b">
        <v>1</v>
      </c>
      <c r="G1583" t="str">
        <f>HYPERLINK("https://www.google.com/maps/search/?api=1&amp;query=24.59750659,46.64263773", "View Map")</f>
        <v>View Map</v>
      </c>
    </row>
    <row r="1584" spans="1:7" x14ac:dyDescent="0.3">
      <c r="A1584" t="s">
        <v>720</v>
      </c>
      <c r="B1584" t="s">
        <v>2637</v>
      </c>
      <c r="C1584" t="s">
        <v>9</v>
      </c>
      <c r="D1584" t="s">
        <v>154</v>
      </c>
      <c r="E1584">
        <v>428</v>
      </c>
      <c r="F1584" t="b">
        <v>1</v>
      </c>
      <c r="G1584" t="str">
        <f>HYPERLINK("https://www.google.com/maps/search/?api=1&amp;query=24.52107792,46.66468675", "View Map")</f>
        <v>View Map</v>
      </c>
    </row>
    <row r="1585" spans="1:7" x14ac:dyDescent="0.3">
      <c r="A1585" t="s">
        <v>2638</v>
      </c>
      <c r="B1585" t="s">
        <v>2639</v>
      </c>
      <c r="C1585" t="s">
        <v>9</v>
      </c>
      <c r="D1585" t="s">
        <v>154</v>
      </c>
      <c r="E1585">
        <v>428</v>
      </c>
      <c r="F1585" t="b">
        <v>1</v>
      </c>
      <c r="G1585" t="str">
        <f>HYPERLINK("https://www.google.com/maps/search/?api=1&amp;query=24.575306,46.582452", "View Map")</f>
        <v>View Map</v>
      </c>
    </row>
    <row r="1586" spans="1:7" x14ac:dyDescent="0.3">
      <c r="A1586" t="s">
        <v>27</v>
      </c>
      <c r="B1586" t="s">
        <v>2640</v>
      </c>
      <c r="C1586" t="s">
        <v>9</v>
      </c>
      <c r="D1586" t="s">
        <v>154</v>
      </c>
      <c r="E1586">
        <v>428</v>
      </c>
      <c r="F1586" t="b">
        <v>0</v>
      </c>
      <c r="G1586" t="str">
        <f>HYPERLINK("https://www.google.com/maps/search/?api=1&amp;query=24.88221777,46.8624745", "View Map")</f>
        <v>View Map</v>
      </c>
    </row>
    <row r="1587" spans="1:7" x14ac:dyDescent="0.3">
      <c r="A1587" t="s">
        <v>105</v>
      </c>
      <c r="B1587" t="s">
        <v>2641</v>
      </c>
      <c r="C1587" t="s">
        <v>9</v>
      </c>
      <c r="D1587" t="s">
        <v>154</v>
      </c>
      <c r="E1587">
        <v>427</v>
      </c>
      <c r="F1587" t="b">
        <v>1</v>
      </c>
      <c r="G1587" t="str">
        <f>HYPERLINK("https://www.google.com/maps/search/?api=1&amp;query=24.74829944,46.82654535", "View Map")</f>
        <v>View Map</v>
      </c>
    </row>
    <row r="1588" spans="1:7" x14ac:dyDescent="0.3">
      <c r="A1588" t="s">
        <v>2642</v>
      </c>
      <c r="B1588" t="s">
        <v>2643</v>
      </c>
      <c r="C1588" t="s">
        <v>9</v>
      </c>
      <c r="D1588" t="s">
        <v>154</v>
      </c>
      <c r="E1588">
        <v>427</v>
      </c>
      <c r="F1588" t="b">
        <v>1</v>
      </c>
      <c r="G1588" t="str">
        <f>HYPERLINK("https://www.google.com/maps/search/?api=1&amp;query=24.57766606,46.67910207", "View Map")</f>
        <v>View Map</v>
      </c>
    </row>
    <row r="1589" spans="1:7" x14ac:dyDescent="0.3">
      <c r="A1589" t="s">
        <v>411</v>
      </c>
      <c r="B1589" t="s">
        <v>2644</v>
      </c>
      <c r="C1589" t="s">
        <v>9</v>
      </c>
      <c r="D1589" t="s">
        <v>154</v>
      </c>
      <c r="E1589">
        <v>427</v>
      </c>
      <c r="F1589" t="b">
        <v>0</v>
      </c>
      <c r="G1589" t="str">
        <f>HYPERLINK("https://www.google.com/maps/search/?api=1&amp;query=24.77348636,46.80756957", "View Map")</f>
        <v>View Map</v>
      </c>
    </row>
    <row r="1590" spans="1:7" x14ac:dyDescent="0.3">
      <c r="A1590" t="s">
        <v>2645</v>
      </c>
      <c r="B1590" t="s">
        <v>2646</v>
      </c>
      <c r="C1590" t="s">
        <v>9</v>
      </c>
      <c r="D1590" t="s">
        <v>154</v>
      </c>
      <c r="E1590">
        <v>427</v>
      </c>
      <c r="F1590" t="b">
        <v>1</v>
      </c>
      <c r="G1590" t="str">
        <f>HYPERLINK("https://www.google.com/maps/search/?api=1&amp;query=24.57820219,46.58912509", "View Map")</f>
        <v>View Map</v>
      </c>
    </row>
    <row r="1591" spans="1:7" x14ac:dyDescent="0.3">
      <c r="A1591" t="s">
        <v>2647</v>
      </c>
      <c r="B1591" t="s">
        <v>2648</v>
      </c>
      <c r="C1591" t="s">
        <v>9</v>
      </c>
      <c r="D1591" t="s">
        <v>154</v>
      </c>
      <c r="E1591">
        <v>427</v>
      </c>
      <c r="F1591" t="b">
        <v>1</v>
      </c>
      <c r="G1591" t="str">
        <f>HYPERLINK("https://www.google.com/maps/search/?api=1&amp;query=24.651714,46.66845802", "View Map")</f>
        <v>View Map</v>
      </c>
    </row>
    <row r="1592" spans="1:7" x14ac:dyDescent="0.3">
      <c r="A1592" t="s">
        <v>2649</v>
      </c>
      <c r="B1592" t="s">
        <v>2650</v>
      </c>
      <c r="C1592" t="s">
        <v>9</v>
      </c>
      <c r="D1592" t="s">
        <v>154</v>
      </c>
      <c r="E1592">
        <v>426</v>
      </c>
      <c r="F1592" t="b">
        <v>1</v>
      </c>
      <c r="G1592" t="str">
        <f>HYPERLINK("https://www.google.com/maps/search/?api=1&amp;query=24.69318501,46.79096506", "View Map")</f>
        <v>View Map</v>
      </c>
    </row>
    <row r="1593" spans="1:7" x14ac:dyDescent="0.3">
      <c r="A1593" t="s">
        <v>493</v>
      </c>
      <c r="B1593" t="s">
        <v>2651</v>
      </c>
      <c r="C1593" t="s">
        <v>9</v>
      </c>
      <c r="D1593" t="s">
        <v>154</v>
      </c>
      <c r="E1593">
        <v>426</v>
      </c>
      <c r="F1593" t="b">
        <v>0</v>
      </c>
      <c r="G1593" t="str">
        <f>HYPERLINK("https://www.google.com/maps/search/?api=1&amp;query=24.80367566,46.7790874", "View Map")</f>
        <v>View Map</v>
      </c>
    </row>
    <row r="1594" spans="1:7" x14ac:dyDescent="0.3">
      <c r="A1594" t="s">
        <v>159</v>
      </c>
      <c r="B1594" t="s">
        <v>2652</v>
      </c>
      <c r="C1594" t="s">
        <v>9</v>
      </c>
      <c r="D1594" t="s">
        <v>154</v>
      </c>
      <c r="E1594">
        <v>426</v>
      </c>
      <c r="F1594" t="b">
        <v>1</v>
      </c>
      <c r="G1594" t="str">
        <f>HYPERLINK("https://www.google.com/maps/search/?api=1&amp;query=24.5667,46.5528", "View Map")</f>
        <v>View Map</v>
      </c>
    </row>
    <row r="1595" spans="1:7" x14ac:dyDescent="0.3">
      <c r="A1595" t="s">
        <v>2653</v>
      </c>
      <c r="B1595" t="s">
        <v>2654</v>
      </c>
      <c r="C1595" t="s">
        <v>9</v>
      </c>
      <c r="D1595" t="s">
        <v>154</v>
      </c>
      <c r="E1595">
        <v>426</v>
      </c>
      <c r="F1595" t="b">
        <v>1</v>
      </c>
      <c r="G1595" t="str">
        <f>HYPERLINK("https://www.google.com/maps/search/?api=1&amp;query=24.74743239,46.79256609", "View Map")</f>
        <v>View Map</v>
      </c>
    </row>
    <row r="1596" spans="1:7" x14ac:dyDescent="0.3">
      <c r="A1596" t="s">
        <v>194</v>
      </c>
      <c r="B1596" t="s">
        <v>2655</v>
      </c>
      <c r="C1596" t="s">
        <v>9</v>
      </c>
      <c r="D1596" t="s">
        <v>154</v>
      </c>
      <c r="E1596">
        <v>425</v>
      </c>
      <c r="F1596" t="b">
        <v>1</v>
      </c>
      <c r="G1596" t="str">
        <f>HYPERLINK("https://www.google.com/maps/search/?api=1&amp;query=24.82038687,46.60498046", "View Map")</f>
        <v>View Map</v>
      </c>
    </row>
    <row r="1597" spans="1:7" x14ac:dyDescent="0.3">
      <c r="A1597" t="s">
        <v>105</v>
      </c>
      <c r="B1597" t="s">
        <v>2656</v>
      </c>
      <c r="C1597" t="s">
        <v>9</v>
      </c>
      <c r="D1597" t="s">
        <v>154</v>
      </c>
      <c r="E1597">
        <v>425</v>
      </c>
      <c r="F1597" t="b">
        <v>1</v>
      </c>
      <c r="G1597" t="str">
        <f>HYPERLINK("https://www.google.com/maps/search/?api=1&amp;query=24.7639438,46.8178028", "View Map")</f>
        <v>View Map</v>
      </c>
    </row>
    <row r="1598" spans="1:7" x14ac:dyDescent="0.3">
      <c r="A1598" t="s">
        <v>2657</v>
      </c>
      <c r="B1598" t="s">
        <v>2658</v>
      </c>
      <c r="C1598" t="s">
        <v>9</v>
      </c>
      <c r="D1598" t="s">
        <v>154</v>
      </c>
      <c r="E1598">
        <v>425</v>
      </c>
      <c r="F1598" t="b">
        <v>0</v>
      </c>
      <c r="G1598" t="str">
        <f>HYPERLINK("https://www.google.com/maps/search/?api=1&amp;query=24.64746215,46.79678856", "View Map")</f>
        <v>View Map</v>
      </c>
    </row>
    <row r="1599" spans="1:7" x14ac:dyDescent="0.3">
      <c r="A1599" t="s">
        <v>1703</v>
      </c>
      <c r="B1599" t="s">
        <v>2659</v>
      </c>
      <c r="C1599" t="s">
        <v>9</v>
      </c>
      <c r="D1599" t="s">
        <v>154</v>
      </c>
      <c r="E1599">
        <v>424</v>
      </c>
      <c r="F1599" t="b">
        <v>1</v>
      </c>
      <c r="G1599" t="str">
        <f>HYPERLINK("https://www.google.com/maps/search/?api=1&amp;query=24.6044,46.6058", "View Map")</f>
        <v>View Map</v>
      </c>
    </row>
    <row r="1600" spans="1:7" x14ac:dyDescent="0.3">
      <c r="A1600" t="s">
        <v>27</v>
      </c>
      <c r="B1600" t="s">
        <v>2660</v>
      </c>
      <c r="C1600" t="s">
        <v>9</v>
      </c>
      <c r="D1600" t="s">
        <v>154</v>
      </c>
      <c r="E1600">
        <v>424</v>
      </c>
      <c r="F1600" t="b">
        <v>1</v>
      </c>
      <c r="G1600" t="str">
        <f>HYPERLINK("https://www.google.com/maps/search/?api=1&amp;query=24.76863869,46.6986284", "View Map")</f>
        <v>View Map</v>
      </c>
    </row>
    <row r="1601" spans="1:7" x14ac:dyDescent="0.3">
      <c r="A1601" t="s">
        <v>720</v>
      </c>
      <c r="B1601" t="s">
        <v>2661</v>
      </c>
      <c r="C1601" t="s">
        <v>9</v>
      </c>
      <c r="D1601" t="s">
        <v>154</v>
      </c>
      <c r="E1601">
        <v>424</v>
      </c>
      <c r="F1601" t="b">
        <v>1</v>
      </c>
      <c r="G1601" t="str">
        <f>HYPERLINK("https://www.google.com/maps/search/?api=1&amp;query=24.51929804,46.66862652", "View Map")</f>
        <v>View Map</v>
      </c>
    </row>
    <row r="1602" spans="1:7" x14ac:dyDescent="0.3">
      <c r="A1602" t="s">
        <v>83</v>
      </c>
      <c r="B1602" t="s">
        <v>2662</v>
      </c>
      <c r="C1602" t="s">
        <v>9</v>
      </c>
      <c r="D1602" t="s">
        <v>154</v>
      </c>
      <c r="E1602">
        <v>424</v>
      </c>
      <c r="F1602" t="b">
        <v>1</v>
      </c>
      <c r="G1602" t="str">
        <f>HYPERLINK("https://www.google.com/maps/search/?api=1&amp;query=24.67237059,46.79599262", "View Map")</f>
        <v>View Map</v>
      </c>
    </row>
    <row r="1603" spans="1:7" x14ac:dyDescent="0.3">
      <c r="A1603" t="s">
        <v>783</v>
      </c>
      <c r="B1603" t="s">
        <v>2663</v>
      </c>
      <c r="C1603" t="s">
        <v>9</v>
      </c>
      <c r="D1603" t="s">
        <v>154</v>
      </c>
      <c r="E1603">
        <v>423</v>
      </c>
      <c r="F1603" t="b">
        <v>1</v>
      </c>
      <c r="G1603" t="str">
        <f>HYPERLINK("https://www.google.com/maps/search/?api=1&amp;query=24.66986897,46.74473075", "View Map")</f>
        <v>View Map</v>
      </c>
    </row>
    <row r="1604" spans="1:7" x14ac:dyDescent="0.3">
      <c r="A1604" t="s">
        <v>2664</v>
      </c>
      <c r="B1604" t="s">
        <v>2665</v>
      </c>
      <c r="C1604" t="s">
        <v>9</v>
      </c>
      <c r="D1604" t="s">
        <v>154</v>
      </c>
      <c r="E1604">
        <v>423</v>
      </c>
      <c r="F1604" t="b">
        <v>1</v>
      </c>
      <c r="G1604" t="str">
        <f>HYPERLINK("https://www.google.com/maps/search/?api=1&amp;query=24.58815505,46.78042521", "View Map")</f>
        <v>View Map</v>
      </c>
    </row>
    <row r="1605" spans="1:7" x14ac:dyDescent="0.3">
      <c r="A1605" t="s">
        <v>27</v>
      </c>
      <c r="B1605" t="s">
        <v>2666</v>
      </c>
      <c r="C1605" t="s">
        <v>9</v>
      </c>
      <c r="D1605" t="s">
        <v>154</v>
      </c>
      <c r="E1605">
        <v>423</v>
      </c>
      <c r="F1605" t="b">
        <v>0</v>
      </c>
      <c r="G1605" t="str">
        <f>HYPERLINK("https://www.google.com/maps/search/?api=1&amp;query=24.83240897,46.81835667", "View Map")</f>
        <v>View Map</v>
      </c>
    </row>
    <row r="1606" spans="1:7" x14ac:dyDescent="0.3">
      <c r="A1606" t="s">
        <v>2667</v>
      </c>
      <c r="B1606" t="s">
        <v>2668</v>
      </c>
      <c r="C1606" t="s">
        <v>9</v>
      </c>
      <c r="D1606" t="s">
        <v>154</v>
      </c>
      <c r="E1606">
        <v>423</v>
      </c>
      <c r="F1606" t="b">
        <v>1</v>
      </c>
      <c r="G1606" t="str">
        <f>HYPERLINK("https://www.google.com/maps/search/?api=1&amp;query=24.75934701,46.71452459", "View Map")</f>
        <v>View Map</v>
      </c>
    </row>
    <row r="1607" spans="1:7" x14ac:dyDescent="0.3">
      <c r="A1607" t="s">
        <v>2669</v>
      </c>
      <c r="B1607" t="s">
        <v>2670</v>
      </c>
      <c r="C1607" t="s">
        <v>9</v>
      </c>
      <c r="D1607" t="s">
        <v>154</v>
      </c>
      <c r="E1607">
        <v>423</v>
      </c>
      <c r="F1607" t="b">
        <v>1</v>
      </c>
      <c r="G1607" t="str">
        <f>HYPERLINK("https://www.google.com/maps/search/?api=1&amp;query=24.7866427,46.70177871", "View Map")</f>
        <v>View Map</v>
      </c>
    </row>
    <row r="1608" spans="1:7" x14ac:dyDescent="0.3">
      <c r="A1608" t="s">
        <v>2671</v>
      </c>
      <c r="B1608" t="s">
        <v>2672</v>
      </c>
      <c r="C1608" t="s">
        <v>9</v>
      </c>
      <c r="D1608" t="s">
        <v>154</v>
      </c>
      <c r="E1608">
        <v>423</v>
      </c>
      <c r="F1608" t="b">
        <v>1</v>
      </c>
      <c r="G1608" t="str">
        <f>HYPERLINK("https://www.google.com/maps/search/?api=1&amp;query=24.59485371,46.65533906", "View Map")</f>
        <v>View Map</v>
      </c>
    </row>
    <row r="1609" spans="1:7" x14ac:dyDescent="0.3">
      <c r="A1609" t="s">
        <v>2673</v>
      </c>
      <c r="B1609" t="s">
        <v>2674</v>
      </c>
      <c r="C1609" t="s">
        <v>9</v>
      </c>
      <c r="D1609" t="s">
        <v>154</v>
      </c>
      <c r="E1609">
        <v>423</v>
      </c>
      <c r="F1609" t="b">
        <v>0</v>
      </c>
      <c r="G1609" t="str">
        <f>HYPERLINK("https://www.google.com/maps/search/?api=1&amp;query=24.58064295,46.63884379", "View Map")</f>
        <v>View Map</v>
      </c>
    </row>
    <row r="1610" spans="1:7" x14ac:dyDescent="0.3">
      <c r="A1610" t="s">
        <v>2275</v>
      </c>
      <c r="B1610" t="s">
        <v>2675</v>
      </c>
      <c r="C1610" t="s">
        <v>9</v>
      </c>
      <c r="D1610" t="s">
        <v>154</v>
      </c>
      <c r="E1610">
        <v>423</v>
      </c>
      <c r="F1610" t="b">
        <v>1</v>
      </c>
      <c r="G1610" t="str">
        <f>HYPERLINK("https://www.google.com/maps/search/?api=1&amp;query=24.69278165,46.78913772", "View Map")</f>
        <v>View Map</v>
      </c>
    </row>
    <row r="1611" spans="1:7" x14ac:dyDescent="0.3">
      <c r="A1611" t="s">
        <v>27</v>
      </c>
      <c r="B1611" t="s">
        <v>2676</v>
      </c>
      <c r="C1611" t="s">
        <v>9</v>
      </c>
      <c r="D1611" t="s">
        <v>154</v>
      </c>
      <c r="E1611">
        <v>423</v>
      </c>
      <c r="F1611" t="b">
        <v>1</v>
      </c>
      <c r="G1611" t="str">
        <f>HYPERLINK("https://www.google.com/maps/search/?api=1&amp;query=24.75067195,46.75744096", "View Map")</f>
        <v>View Map</v>
      </c>
    </row>
    <row r="1612" spans="1:7" x14ac:dyDescent="0.3">
      <c r="A1612" t="s">
        <v>2677</v>
      </c>
      <c r="B1612" t="s">
        <v>2678</v>
      </c>
      <c r="C1612" t="s">
        <v>9</v>
      </c>
      <c r="D1612" t="s">
        <v>154</v>
      </c>
      <c r="E1612">
        <v>422</v>
      </c>
      <c r="F1612" t="b">
        <v>1</v>
      </c>
      <c r="G1612" t="str">
        <f>HYPERLINK("https://www.google.com/maps/search/?api=1&amp;query=24.5520857,46.70207179", "View Map")</f>
        <v>View Map</v>
      </c>
    </row>
    <row r="1613" spans="1:7" x14ac:dyDescent="0.3">
      <c r="A1613" t="s">
        <v>1198</v>
      </c>
      <c r="B1613" t="s">
        <v>2679</v>
      </c>
      <c r="C1613" t="s">
        <v>9</v>
      </c>
      <c r="D1613" t="s">
        <v>154</v>
      </c>
      <c r="E1613">
        <v>422</v>
      </c>
      <c r="F1613" t="b">
        <v>1</v>
      </c>
      <c r="G1613" t="str">
        <f>HYPERLINK("https://www.google.com/maps/search/?api=1&amp;query=24.71016165,46.69043979", "View Map")</f>
        <v>View Map</v>
      </c>
    </row>
    <row r="1614" spans="1:7" x14ac:dyDescent="0.3">
      <c r="A1614" t="s">
        <v>2680</v>
      </c>
      <c r="B1614" t="s">
        <v>2681</v>
      </c>
      <c r="C1614" t="s">
        <v>9</v>
      </c>
      <c r="D1614" t="s">
        <v>154</v>
      </c>
      <c r="E1614">
        <v>421</v>
      </c>
      <c r="F1614" t="b">
        <v>1</v>
      </c>
      <c r="G1614" t="str">
        <f>HYPERLINK("https://www.google.com/maps/search/?api=1&amp;query=24.82127642,46.80905241", "View Map")</f>
        <v>View Map</v>
      </c>
    </row>
    <row r="1615" spans="1:7" x14ac:dyDescent="0.3">
      <c r="A1615" t="s">
        <v>2682</v>
      </c>
      <c r="B1615" t="s">
        <v>2683</v>
      </c>
      <c r="C1615" t="s">
        <v>9</v>
      </c>
      <c r="D1615" t="s">
        <v>154</v>
      </c>
      <c r="E1615">
        <v>421</v>
      </c>
      <c r="F1615" t="b">
        <v>1</v>
      </c>
      <c r="G1615" t="str">
        <f>HYPERLINK("https://www.google.com/maps/search/?api=1&amp;query=24.6342636,46.61424206", "View Map")</f>
        <v>View Map</v>
      </c>
    </row>
    <row r="1616" spans="1:7" x14ac:dyDescent="0.3">
      <c r="A1616" t="s">
        <v>2684</v>
      </c>
      <c r="B1616" t="s">
        <v>2685</v>
      </c>
      <c r="C1616" t="s">
        <v>9</v>
      </c>
      <c r="D1616" t="s">
        <v>154</v>
      </c>
      <c r="E1616">
        <v>421</v>
      </c>
      <c r="F1616" t="b">
        <v>1</v>
      </c>
      <c r="G1616" t="str">
        <f>HYPERLINK("https://www.google.com/maps/search/?api=1&amp;query=24.54903582,46.68769823", "View Map")</f>
        <v>View Map</v>
      </c>
    </row>
    <row r="1617" spans="1:7" x14ac:dyDescent="0.3">
      <c r="A1617" t="s">
        <v>2686</v>
      </c>
      <c r="B1617" t="s">
        <v>2687</v>
      </c>
      <c r="C1617" t="s">
        <v>9</v>
      </c>
      <c r="D1617" t="s">
        <v>154</v>
      </c>
      <c r="E1617">
        <v>421</v>
      </c>
      <c r="F1617" t="b">
        <v>1</v>
      </c>
      <c r="G1617" t="str">
        <f>HYPERLINK("https://www.google.com/maps/search/?api=1&amp;query=24.6977115,46.76944296", "View Map")</f>
        <v>View Map</v>
      </c>
    </row>
    <row r="1618" spans="1:7" x14ac:dyDescent="0.3">
      <c r="A1618" t="s">
        <v>159</v>
      </c>
      <c r="B1618" t="s">
        <v>2688</v>
      </c>
      <c r="C1618" t="s">
        <v>9</v>
      </c>
      <c r="D1618" t="s">
        <v>154</v>
      </c>
      <c r="E1618">
        <v>421</v>
      </c>
      <c r="F1618" t="b">
        <v>1</v>
      </c>
      <c r="G1618" t="str">
        <f>HYPERLINK("https://www.google.com/maps/search/?api=1&amp;query=24.51386838,46.68149558", "View Map")</f>
        <v>View Map</v>
      </c>
    </row>
    <row r="1619" spans="1:7" x14ac:dyDescent="0.3">
      <c r="A1619" t="s">
        <v>2689</v>
      </c>
      <c r="B1619" t="s">
        <v>2690</v>
      </c>
      <c r="C1619" t="s">
        <v>9</v>
      </c>
      <c r="D1619" t="s">
        <v>154</v>
      </c>
      <c r="E1619">
        <v>421</v>
      </c>
      <c r="F1619" t="b">
        <v>1</v>
      </c>
      <c r="G1619" t="str">
        <f>HYPERLINK("https://www.google.com/maps/search/?api=1&amp;query=24.75081,46.6834", "View Map")</f>
        <v>View Map</v>
      </c>
    </row>
    <row r="1620" spans="1:7" x14ac:dyDescent="0.3">
      <c r="A1620" t="s">
        <v>2691</v>
      </c>
      <c r="B1620" t="s">
        <v>2692</v>
      </c>
      <c r="C1620" t="s">
        <v>72</v>
      </c>
      <c r="D1620" t="s">
        <v>154</v>
      </c>
      <c r="E1620">
        <v>420</v>
      </c>
      <c r="F1620" t="b">
        <v>0</v>
      </c>
      <c r="G1620" t="str">
        <f>HYPERLINK("https://www.google.com/maps/search/?api=1&amp;query=24.90731121,46.38222352", "View Map")</f>
        <v>View Map</v>
      </c>
    </row>
    <row r="1621" spans="1:7" x14ac:dyDescent="0.3">
      <c r="A1621" t="s">
        <v>2693</v>
      </c>
      <c r="B1621" t="s">
        <v>2694</v>
      </c>
      <c r="C1621" t="s">
        <v>9</v>
      </c>
      <c r="D1621" t="s">
        <v>154</v>
      </c>
      <c r="E1621">
        <v>420</v>
      </c>
      <c r="F1621" t="b">
        <v>1</v>
      </c>
      <c r="G1621" t="str">
        <f>HYPERLINK("https://www.google.com/maps/search/?api=1&amp;query=24.55658705,46.78032038", "View Map")</f>
        <v>View Map</v>
      </c>
    </row>
    <row r="1622" spans="1:7" x14ac:dyDescent="0.3">
      <c r="A1622" t="s">
        <v>19</v>
      </c>
      <c r="B1622" t="s">
        <v>2695</v>
      </c>
      <c r="C1622" t="s">
        <v>9</v>
      </c>
      <c r="D1622" t="s">
        <v>154</v>
      </c>
      <c r="E1622">
        <v>420</v>
      </c>
      <c r="F1622" t="b">
        <v>1</v>
      </c>
      <c r="G1622" t="str">
        <f>HYPERLINK("https://www.google.com/maps/search/?api=1&amp;query=24.61123496,46.49149338", "View Map")</f>
        <v>View Map</v>
      </c>
    </row>
    <row r="1623" spans="1:7" x14ac:dyDescent="0.3">
      <c r="A1623" t="s">
        <v>2696</v>
      </c>
      <c r="B1623" t="s">
        <v>2697</v>
      </c>
      <c r="C1623" t="s">
        <v>9</v>
      </c>
      <c r="D1623" t="s">
        <v>154</v>
      </c>
      <c r="E1623">
        <v>420</v>
      </c>
      <c r="F1623" t="b">
        <v>1</v>
      </c>
      <c r="G1623" t="str">
        <f>HYPERLINK("https://www.google.com/maps/search/?api=1&amp;query=24.72720724,46.8391305", "View Map")</f>
        <v>View Map</v>
      </c>
    </row>
    <row r="1624" spans="1:7" x14ac:dyDescent="0.3">
      <c r="A1624" t="s">
        <v>2698</v>
      </c>
      <c r="B1624" t="s">
        <v>2699</v>
      </c>
      <c r="C1624" t="s">
        <v>9</v>
      </c>
      <c r="D1624" t="s">
        <v>154</v>
      </c>
      <c r="E1624">
        <v>420</v>
      </c>
      <c r="F1624" t="b">
        <v>1</v>
      </c>
      <c r="G1624" t="str">
        <f>HYPERLINK("https://www.google.com/maps/search/?api=1&amp;query=24.79191384,46.69051219", "View Map")</f>
        <v>View Map</v>
      </c>
    </row>
    <row r="1625" spans="1:7" x14ac:dyDescent="0.3">
      <c r="A1625" t="s">
        <v>27</v>
      </c>
      <c r="B1625" t="s">
        <v>2700</v>
      </c>
      <c r="C1625" t="s">
        <v>9</v>
      </c>
      <c r="D1625" t="s">
        <v>154</v>
      </c>
      <c r="E1625">
        <v>420</v>
      </c>
      <c r="F1625" t="b">
        <v>1</v>
      </c>
      <c r="G1625" t="str">
        <f>HYPERLINK("https://www.google.com/maps/search/?api=1&amp;query=24.84429942,46.82623565", "View Map")</f>
        <v>View Map</v>
      </c>
    </row>
    <row r="1626" spans="1:7" x14ac:dyDescent="0.3">
      <c r="A1626" t="s">
        <v>19</v>
      </c>
      <c r="B1626" t="s">
        <v>2701</v>
      </c>
      <c r="C1626" t="s">
        <v>9</v>
      </c>
      <c r="D1626" t="s">
        <v>154</v>
      </c>
      <c r="E1626">
        <v>419</v>
      </c>
      <c r="F1626" t="b">
        <v>1</v>
      </c>
      <c r="G1626" t="str">
        <f>HYPERLINK("https://www.google.com/maps/search/?api=1&amp;query=24.82972943,46.67907707", "View Map")</f>
        <v>View Map</v>
      </c>
    </row>
    <row r="1627" spans="1:7" x14ac:dyDescent="0.3">
      <c r="A1627" t="s">
        <v>159</v>
      </c>
      <c r="B1627" t="s">
        <v>2702</v>
      </c>
      <c r="C1627" t="s">
        <v>9</v>
      </c>
      <c r="D1627" t="s">
        <v>154</v>
      </c>
      <c r="E1627">
        <v>419</v>
      </c>
      <c r="F1627" t="b">
        <v>1</v>
      </c>
      <c r="G1627" t="str">
        <f>HYPERLINK("https://www.google.com/maps/search/?api=1&amp;query=24.55363955,46.6674507", "View Map")</f>
        <v>View Map</v>
      </c>
    </row>
    <row r="1628" spans="1:7" x14ac:dyDescent="0.3">
      <c r="A1628" t="s">
        <v>2703</v>
      </c>
      <c r="B1628" t="s">
        <v>2704</v>
      </c>
      <c r="C1628" t="s">
        <v>9</v>
      </c>
      <c r="D1628" t="s">
        <v>154</v>
      </c>
      <c r="E1628">
        <v>418</v>
      </c>
      <c r="F1628" t="b">
        <v>0</v>
      </c>
      <c r="G1628" t="str">
        <f>HYPERLINK("https://www.google.com/maps/search/?api=1&amp;query=24.62014752,46.53059992", "View Map")</f>
        <v>View Map</v>
      </c>
    </row>
    <row r="1629" spans="1:7" x14ac:dyDescent="0.3">
      <c r="A1629" t="s">
        <v>27</v>
      </c>
      <c r="B1629" t="s">
        <v>2705</v>
      </c>
      <c r="C1629" t="s">
        <v>9</v>
      </c>
      <c r="D1629" t="s">
        <v>154</v>
      </c>
      <c r="E1629">
        <v>418</v>
      </c>
      <c r="F1629" t="b">
        <v>1</v>
      </c>
      <c r="G1629" t="str">
        <f>HYPERLINK("https://www.google.com/maps/search/?api=1&amp;query=24.700257,46.8340865", "View Map")</f>
        <v>View Map</v>
      </c>
    </row>
    <row r="1630" spans="1:7" x14ac:dyDescent="0.3">
      <c r="A1630" t="s">
        <v>159</v>
      </c>
      <c r="B1630" t="s">
        <v>2706</v>
      </c>
      <c r="C1630" t="s">
        <v>9</v>
      </c>
      <c r="D1630" t="s">
        <v>154</v>
      </c>
      <c r="E1630">
        <v>417</v>
      </c>
      <c r="F1630" t="b">
        <v>1</v>
      </c>
      <c r="G1630" t="str">
        <f>HYPERLINK("https://www.google.com/maps/search/?api=1&amp;query=24.52131839,46.65888569", "View Map")</f>
        <v>View Map</v>
      </c>
    </row>
    <row r="1631" spans="1:7" x14ac:dyDescent="0.3">
      <c r="A1631" t="s">
        <v>2707</v>
      </c>
      <c r="B1631" t="s">
        <v>2708</v>
      </c>
      <c r="C1631" t="s">
        <v>9</v>
      </c>
      <c r="D1631" t="s">
        <v>154</v>
      </c>
      <c r="E1631">
        <v>417</v>
      </c>
      <c r="F1631" t="b">
        <v>1</v>
      </c>
      <c r="G1631" t="str">
        <f>HYPERLINK("https://www.google.com/maps/search/?api=1&amp;query=24.79984265,46.80466108", "View Map")</f>
        <v>View Map</v>
      </c>
    </row>
    <row r="1632" spans="1:7" x14ac:dyDescent="0.3">
      <c r="A1632" t="s">
        <v>2709</v>
      </c>
      <c r="B1632" t="s">
        <v>2710</v>
      </c>
      <c r="C1632" t="s">
        <v>9</v>
      </c>
      <c r="D1632" t="s">
        <v>154</v>
      </c>
      <c r="E1632">
        <v>417</v>
      </c>
      <c r="F1632" t="b">
        <v>1</v>
      </c>
      <c r="G1632" t="str">
        <f>HYPERLINK("https://www.google.com/maps/search/?api=1&amp;query=24.79818718,46.6509949", "View Map")</f>
        <v>View Map</v>
      </c>
    </row>
    <row r="1633" spans="1:7" x14ac:dyDescent="0.3">
      <c r="A1633" t="s">
        <v>2711</v>
      </c>
      <c r="B1633" t="s">
        <v>2712</v>
      </c>
      <c r="C1633" t="s">
        <v>9</v>
      </c>
      <c r="D1633" t="s">
        <v>154</v>
      </c>
      <c r="E1633">
        <v>416</v>
      </c>
      <c r="F1633" t="b">
        <v>0</v>
      </c>
      <c r="G1633" t="str">
        <f>HYPERLINK("https://www.google.com/maps/search/?api=1&amp;query=24.65898538,46.73720849", "View Map")</f>
        <v>View Map</v>
      </c>
    </row>
    <row r="1634" spans="1:7" x14ac:dyDescent="0.3">
      <c r="A1634" t="s">
        <v>2713</v>
      </c>
      <c r="B1634" t="s">
        <v>2714</v>
      </c>
      <c r="C1634" t="s">
        <v>9</v>
      </c>
      <c r="D1634" t="s">
        <v>154</v>
      </c>
      <c r="E1634">
        <v>416</v>
      </c>
      <c r="F1634" t="b">
        <v>1</v>
      </c>
      <c r="G1634" t="str">
        <f>HYPERLINK("https://www.google.com/maps/search/?api=1&amp;query=24.74872349,46.61258018", "View Map")</f>
        <v>View Map</v>
      </c>
    </row>
    <row r="1635" spans="1:7" x14ac:dyDescent="0.3">
      <c r="A1635" t="s">
        <v>159</v>
      </c>
      <c r="B1635" t="s">
        <v>2715</v>
      </c>
      <c r="C1635" t="s">
        <v>9</v>
      </c>
      <c r="D1635" t="s">
        <v>154</v>
      </c>
      <c r="E1635">
        <v>416</v>
      </c>
      <c r="F1635" t="b">
        <v>1</v>
      </c>
      <c r="G1635" t="str">
        <f>HYPERLINK("https://www.google.com/maps/search/?api=1&amp;query=24.55670088,46.50394416", "View Map")</f>
        <v>View Map</v>
      </c>
    </row>
    <row r="1636" spans="1:7" x14ac:dyDescent="0.3">
      <c r="A1636" t="s">
        <v>2716</v>
      </c>
      <c r="B1636" t="s">
        <v>2717</v>
      </c>
      <c r="C1636" t="s">
        <v>9</v>
      </c>
      <c r="D1636" t="s">
        <v>154</v>
      </c>
      <c r="E1636">
        <v>416</v>
      </c>
      <c r="F1636" t="b">
        <v>0</v>
      </c>
      <c r="G1636" t="str">
        <f>HYPERLINK("https://www.google.com/maps/search/?api=1&amp;query=24.47583251,46.80562268", "View Map")</f>
        <v>View Map</v>
      </c>
    </row>
    <row r="1637" spans="1:7" x14ac:dyDescent="0.3">
      <c r="A1637" t="s">
        <v>2718</v>
      </c>
      <c r="B1637" t="s">
        <v>2719</v>
      </c>
      <c r="C1637" t="s">
        <v>9</v>
      </c>
      <c r="D1637" t="s">
        <v>154</v>
      </c>
      <c r="E1637">
        <v>416</v>
      </c>
      <c r="F1637" t="b">
        <v>0</v>
      </c>
      <c r="G1637" t="str">
        <f>HYPERLINK("https://www.google.com/maps/search/?api=1&amp;query=24.56605515,46.5487791", "View Map")</f>
        <v>View Map</v>
      </c>
    </row>
    <row r="1638" spans="1:7" x14ac:dyDescent="0.3">
      <c r="A1638" t="s">
        <v>2720</v>
      </c>
      <c r="B1638" t="s">
        <v>2721</v>
      </c>
      <c r="C1638" t="s">
        <v>9</v>
      </c>
      <c r="D1638" t="s">
        <v>154</v>
      </c>
      <c r="E1638">
        <v>415</v>
      </c>
      <c r="F1638" t="b">
        <v>0</v>
      </c>
      <c r="G1638" t="str">
        <f>HYPERLINK("https://www.google.com/maps/search/?api=1&amp;query=24.64554442,46.56415336", "View Map")</f>
        <v>View Map</v>
      </c>
    </row>
    <row r="1639" spans="1:7" x14ac:dyDescent="0.3">
      <c r="A1639" t="s">
        <v>2722</v>
      </c>
      <c r="B1639" t="s">
        <v>2723</v>
      </c>
      <c r="C1639" t="s">
        <v>9</v>
      </c>
      <c r="D1639" t="s">
        <v>154</v>
      </c>
      <c r="E1639">
        <v>415</v>
      </c>
      <c r="F1639" t="b">
        <v>1</v>
      </c>
      <c r="G1639" t="str">
        <f>HYPERLINK("https://www.google.com/maps/search/?api=1&amp;query=24.62948346,46.55079822", "View Map")</f>
        <v>View Map</v>
      </c>
    </row>
    <row r="1640" spans="1:7" x14ac:dyDescent="0.3">
      <c r="A1640" t="s">
        <v>2724</v>
      </c>
      <c r="B1640" t="s">
        <v>2725</v>
      </c>
      <c r="C1640" t="s">
        <v>9</v>
      </c>
      <c r="D1640" t="s">
        <v>154</v>
      </c>
      <c r="E1640">
        <v>415</v>
      </c>
      <c r="F1640" t="b">
        <v>1</v>
      </c>
      <c r="G1640" t="str">
        <f>HYPERLINK("https://www.google.com/maps/search/?api=1&amp;query=24.59329185,46.73703888", "View Map")</f>
        <v>View Map</v>
      </c>
    </row>
    <row r="1641" spans="1:7" x14ac:dyDescent="0.3">
      <c r="A1641" t="s">
        <v>2726</v>
      </c>
      <c r="B1641" t="s">
        <v>2727</v>
      </c>
      <c r="C1641" t="s">
        <v>9</v>
      </c>
      <c r="D1641" t="s">
        <v>154</v>
      </c>
      <c r="E1641">
        <v>415</v>
      </c>
      <c r="F1641" t="b">
        <v>0</v>
      </c>
      <c r="G1641" t="str">
        <f>HYPERLINK("https://www.google.com/maps/search/?api=1&amp;query=24.63588024,46.71842588", "View Map")</f>
        <v>View Map</v>
      </c>
    </row>
    <row r="1642" spans="1:7" x14ac:dyDescent="0.3">
      <c r="A1642" t="s">
        <v>27</v>
      </c>
      <c r="B1642" t="s">
        <v>2728</v>
      </c>
      <c r="C1642" t="s">
        <v>9</v>
      </c>
      <c r="D1642" t="s">
        <v>154</v>
      </c>
      <c r="E1642">
        <v>415</v>
      </c>
      <c r="F1642" t="b">
        <v>1</v>
      </c>
      <c r="G1642" t="str">
        <f>HYPERLINK("https://www.google.com/maps/search/?api=1&amp;query=24.82853691,46.64812559", "View Map")</f>
        <v>View Map</v>
      </c>
    </row>
    <row r="1643" spans="1:7" x14ac:dyDescent="0.3">
      <c r="A1643" t="s">
        <v>2729</v>
      </c>
      <c r="B1643" t="s">
        <v>2730</v>
      </c>
      <c r="C1643" t="s">
        <v>9</v>
      </c>
      <c r="D1643" t="s">
        <v>154</v>
      </c>
      <c r="E1643">
        <v>415</v>
      </c>
      <c r="F1643" t="b">
        <v>1</v>
      </c>
      <c r="G1643" t="str">
        <f>HYPERLINK("https://www.google.com/maps/search/?api=1&amp;query=24.78347449,46.75415077", "View Map")</f>
        <v>View Map</v>
      </c>
    </row>
    <row r="1644" spans="1:7" x14ac:dyDescent="0.3">
      <c r="A1644" t="s">
        <v>194</v>
      </c>
      <c r="B1644" t="s">
        <v>2731</v>
      </c>
      <c r="C1644" t="s">
        <v>9</v>
      </c>
      <c r="D1644" t="s">
        <v>154</v>
      </c>
      <c r="E1644">
        <v>414</v>
      </c>
      <c r="F1644" t="b">
        <v>1</v>
      </c>
      <c r="G1644" t="str">
        <f>HYPERLINK("https://www.google.com/maps/search/?api=1&amp;query=24.78380468,46.78335339", "View Map")</f>
        <v>View Map</v>
      </c>
    </row>
    <row r="1645" spans="1:7" x14ac:dyDescent="0.3">
      <c r="A1645" t="s">
        <v>27</v>
      </c>
      <c r="B1645" t="s">
        <v>2732</v>
      </c>
      <c r="C1645" t="s">
        <v>9</v>
      </c>
      <c r="D1645" t="s">
        <v>154</v>
      </c>
      <c r="E1645">
        <v>414</v>
      </c>
      <c r="F1645" t="b">
        <v>1</v>
      </c>
      <c r="G1645" t="str">
        <f>HYPERLINK("https://www.google.com/maps/search/?api=1&amp;query=24.8292511,46.62597262", "View Map")</f>
        <v>View Map</v>
      </c>
    </row>
    <row r="1646" spans="1:7" x14ac:dyDescent="0.3">
      <c r="A1646" t="s">
        <v>2733</v>
      </c>
      <c r="B1646" t="s">
        <v>2734</v>
      </c>
      <c r="C1646" t="s">
        <v>9</v>
      </c>
      <c r="D1646" t="s">
        <v>154</v>
      </c>
      <c r="E1646">
        <v>413</v>
      </c>
      <c r="F1646" t="b">
        <v>1</v>
      </c>
      <c r="G1646" t="str">
        <f>HYPERLINK("https://www.google.com/maps/search/?api=1&amp;query=24.78535614,46.75093366", "View Map")</f>
        <v>View Map</v>
      </c>
    </row>
    <row r="1647" spans="1:7" x14ac:dyDescent="0.3">
      <c r="A1647" t="s">
        <v>2735</v>
      </c>
      <c r="B1647" t="s">
        <v>2736</v>
      </c>
      <c r="C1647" t="s">
        <v>72</v>
      </c>
      <c r="D1647" t="s">
        <v>154</v>
      </c>
      <c r="E1647">
        <v>413</v>
      </c>
      <c r="F1647" t="b">
        <v>1</v>
      </c>
      <c r="G1647" t="str">
        <f>HYPERLINK("https://www.google.com/maps/search/?api=1&amp;query=24.7532337,46.57687528", "View Map")</f>
        <v>View Map</v>
      </c>
    </row>
    <row r="1648" spans="1:7" x14ac:dyDescent="0.3">
      <c r="A1648" t="s">
        <v>2737</v>
      </c>
      <c r="B1648" t="s">
        <v>2738</v>
      </c>
      <c r="C1648" t="s">
        <v>9</v>
      </c>
      <c r="D1648" t="s">
        <v>154</v>
      </c>
      <c r="E1648">
        <v>413</v>
      </c>
      <c r="F1648" t="b">
        <v>1</v>
      </c>
      <c r="G1648" t="str">
        <f>HYPERLINK("https://www.google.com/maps/search/?api=1&amp;query=24.69238976,46.75732329", "View Map")</f>
        <v>View Map</v>
      </c>
    </row>
    <row r="1649" spans="1:7" x14ac:dyDescent="0.3">
      <c r="A1649" t="s">
        <v>2275</v>
      </c>
      <c r="B1649" t="s">
        <v>2739</v>
      </c>
      <c r="C1649" t="s">
        <v>9</v>
      </c>
      <c r="D1649" t="s">
        <v>154</v>
      </c>
      <c r="E1649">
        <v>413</v>
      </c>
      <c r="F1649" t="b">
        <v>1</v>
      </c>
      <c r="G1649" t="str">
        <f>HYPERLINK("https://www.google.com/maps/search/?api=1&amp;query=24.69406624,46.79645886", "View Map")</f>
        <v>View Map</v>
      </c>
    </row>
    <row r="1650" spans="1:7" x14ac:dyDescent="0.3">
      <c r="A1650" t="s">
        <v>2740</v>
      </c>
      <c r="B1650" t="s">
        <v>2741</v>
      </c>
      <c r="C1650" t="s">
        <v>9</v>
      </c>
      <c r="D1650" t="s">
        <v>154</v>
      </c>
      <c r="E1650">
        <v>413</v>
      </c>
      <c r="F1650" t="b">
        <v>1</v>
      </c>
      <c r="G1650" t="str">
        <f>HYPERLINK("https://www.google.com/maps/search/?api=1&amp;query=24.60513594,46.74396006", "View Map")</f>
        <v>View Map</v>
      </c>
    </row>
    <row r="1651" spans="1:7" x14ac:dyDescent="0.3">
      <c r="A1651" t="s">
        <v>27</v>
      </c>
      <c r="B1651" t="s">
        <v>2742</v>
      </c>
      <c r="C1651" t="s">
        <v>9</v>
      </c>
      <c r="D1651" t="s">
        <v>154</v>
      </c>
      <c r="E1651">
        <v>413</v>
      </c>
      <c r="F1651" t="b">
        <v>0</v>
      </c>
      <c r="G1651" t="str">
        <f>HYPERLINK("https://www.google.com/maps/search/?api=1&amp;query=24.81563896,46.76323527", "View Map")</f>
        <v>View Map</v>
      </c>
    </row>
    <row r="1652" spans="1:7" x14ac:dyDescent="0.3">
      <c r="A1652" t="s">
        <v>2743</v>
      </c>
      <c r="B1652" t="s">
        <v>2744</v>
      </c>
      <c r="C1652" t="s">
        <v>72</v>
      </c>
      <c r="D1652" t="s">
        <v>154</v>
      </c>
      <c r="E1652">
        <v>412</v>
      </c>
      <c r="F1652" t="b">
        <v>1</v>
      </c>
      <c r="G1652" t="str">
        <f>HYPERLINK("https://www.google.com/maps/search/?api=1&amp;query=24.74820868,46.53897423", "View Map")</f>
        <v>View Map</v>
      </c>
    </row>
    <row r="1653" spans="1:7" x14ac:dyDescent="0.3">
      <c r="A1653" t="s">
        <v>2745</v>
      </c>
      <c r="B1653" t="s">
        <v>2746</v>
      </c>
      <c r="C1653" t="s">
        <v>9</v>
      </c>
      <c r="D1653" t="s">
        <v>154</v>
      </c>
      <c r="E1653">
        <v>412</v>
      </c>
      <c r="F1653" t="b">
        <v>1</v>
      </c>
      <c r="G1653" t="str">
        <f>HYPERLINK("https://www.google.com/maps/search/?api=1&amp;query=24.63808177,46.68976008", "View Map")</f>
        <v>View Map</v>
      </c>
    </row>
    <row r="1654" spans="1:7" x14ac:dyDescent="0.3">
      <c r="A1654" t="s">
        <v>159</v>
      </c>
      <c r="B1654" t="s">
        <v>2747</v>
      </c>
      <c r="C1654" t="s">
        <v>9</v>
      </c>
      <c r="D1654" t="s">
        <v>154</v>
      </c>
      <c r="E1654">
        <v>412</v>
      </c>
      <c r="F1654" t="b">
        <v>0</v>
      </c>
      <c r="G1654" t="str">
        <f>HYPERLINK("https://www.google.com/maps/search/?api=1&amp;query=24.56677111,46.56418492", "View Map")</f>
        <v>View Map</v>
      </c>
    </row>
    <row r="1655" spans="1:7" x14ac:dyDescent="0.3">
      <c r="A1655" t="s">
        <v>2748</v>
      </c>
      <c r="B1655" t="s">
        <v>2749</v>
      </c>
      <c r="C1655" t="s">
        <v>9</v>
      </c>
      <c r="D1655" t="s">
        <v>154</v>
      </c>
      <c r="E1655">
        <v>412</v>
      </c>
      <c r="F1655" t="b">
        <v>1</v>
      </c>
      <c r="G1655" t="str">
        <f>HYPERLINK("https://www.google.com/maps/search/?api=1&amp;query=24.76646395,46.74085585", "View Map")</f>
        <v>View Map</v>
      </c>
    </row>
    <row r="1656" spans="1:7" x14ac:dyDescent="0.3">
      <c r="A1656" t="s">
        <v>194</v>
      </c>
      <c r="B1656" t="s">
        <v>2750</v>
      </c>
      <c r="C1656" t="s">
        <v>9</v>
      </c>
      <c r="D1656" t="s">
        <v>154</v>
      </c>
      <c r="E1656">
        <v>412</v>
      </c>
      <c r="F1656" t="b">
        <v>1</v>
      </c>
      <c r="G1656" t="str">
        <f>HYPERLINK("https://www.google.com/maps/search/?api=1&amp;query=24.82267215,46.78085607", "View Map")</f>
        <v>View Map</v>
      </c>
    </row>
    <row r="1657" spans="1:7" x14ac:dyDescent="0.3">
      <c r="A1657" t="s">
        <v>27</v>
      </c>
      <c r="B1657" t="s">
        <v>2751</v>
      </c>
      <c r="C1657" t="s">
        <v>9</v>
      </c>
      <c r="D1657" t="s">
        <v>154</v>
      </c>
      <c r="E1657">
        <v>412</v>
      </c>
      <c r="F1657" t="b">
        <v>1</v>
      </c>
      <c r="G1657" t="str">
        <f>HYPERLINK("https://www.google.com/maps/search/?api=1&amp;query=24.82437239,46.59852622", "View Map")</f>
        <v>View Map</v>
      </c>
    </row>
    <row r="1658" spans="1:7" x14ac:dyDescent="0.3">
      <c r="A1658" t="s">
        <v>2752</v>
      </c>
      <c r="B1658" t="s">
        <v>2753</v>
      </c>
      <c r="C1658" t="s">
        <v>9</v>
      </c>
      <c r="D1658" t="s">
        <v>154</v>
      </c>
      <c r="E1658">
        <v>412</v>
      </c>
      <c r="F1658" t="b">
        <v>0</v>
      </c>
      <c r="G1658" t="str">
        <f>HYPERLINK("https://www.google.com/maps/search/?api=1&amp;query=24.80691605,46.64255231", "View Map")</f>
        <v>View Map</v>
      </c>
    </row>
    <row r="1659" spans="1:7" x14ac:dyDescent="0.3">
      <c r="A1659" t="s">
        <v>2754</v>
      </c>
      <c r="B1659" t="s">
        <v>2755</v>
      </c>
      <c r="C1659" t="s">
        <v>9</v>
      </c>
      <c r="D1659" t="s">
        <v>154</v>
      </c>
      <c r="E1659">
        <v>411</v>
      </c>
      <c r="F1659" t="b">
        <v>1</v>
      </c>
      <c r="G1659" t="str">
        <f>HYPERLINK("https://www.google.com/maps/search/?api=1&amp;query=24.80943836,46.64490465", "View Map")</f>
        <v>View Map</v>
      </c>
    </row>
    <row r="1660" spans="1:7" x14ac:dyDescent="0.3">
      <c r="A1660" t="s">
        <v>2756</v>
      </c>
      <c r="B1660" t="s">
        <v>2757</v>
      </c>
      <c r="C1660" t="s">
        <v>9</v>
      </c>
      <c r="D1660" t="s">
        <v>154</v>
      </c>
      <c r="E1660">
        <v>411</v>
      </c>
      <c r="F1660" t="b">
        <v>1</v>
      </c>
      <c r="G1660" t="str">
        <f>HYPERLINK("https://www.google.com/maps/search/?api=1&amp;query=24.69333033,46.83849449", "View Map")</f>
        <v>View Map</v>
      </c>
    </row>
    <row r="1661" spans="1:7" x14ac:dyDescent="0.3">
      <c r="A1661" t="s">
        <v>159</v>
      </c>
      <c r="B1661" t="s">
        <v>2758</v>
      </c>
      <c r="C1661" t="s">
        <v>9</v>
      </c>
      <c r="D1661" t="s">
        <v>154</v>
      </c>
      <c r="E1661">
        <v>411</v>
      </c>
      <c r="F1661" t="b">
        <v>1</v>
      </c>
      <c r="G1661" t="str">
        <f>HYPERLINK("https://www.google.com/maps/search/?api=1&amp;query=24.55621171,46.51615519", "View Map")</f>
        <v>View Map</v>
      </c>
    </row>
    <row r="1662" spans="1:7" x14ac:dyDescent="0.3">
      <c r="A1662" t="s">
        <v>2759</v>
      </c>
      <c r="B1662" t="s">
        <v>2760</v>
      </c>
      <c r="C1662" t="s">
        <v>9</v>
      </c>
      <c r="D1662" t="s">
        <v>154</v>
      </c>
      <c r="E1662">
        <v>411</v>
      </c>
      <c r="F1662" t="b">
        <v>1</v>
      </c>
      <c r="G1662" t="str">
        <f>HYPERLINK("https://www.google.com/maps/search/?api=1&amp;query=24.52720619,46.67962957", "View Map")</f>
        <v>View Map</v>
      </c>
    </row>
    <row r="1663" spans="1:7" x14ac:dyDescent="0.3">
      <c r="A1663" t="s">
        <v>2761</v>
      </c>
      <c r="B1663" t="s">
        <v>2762</v>
      </c>
      <c r="C1663" t="s">
        <v>9</v>
      </c>
      <c r="D1663" t="s">
        <v>154</v>
      </c>
      <c r="E1663">
        <v>410</v>
      </c>
      <c r="F1663" t="b">
        <v>1</v>
      </c>
      <c r="G1663" t="str">
        <f>HYPERLINK("https://www.google.com/maps/search/?api=1&amp;query=24.59360186,46.66058462", "View Map")</f>
        <v>View Map</v>
      </c>
    </row>
    <row r="1664" spans="1:7" x14ac:dyDescent="0.3">
      <c r="A1664" t="s">
        <v>2763</v>
      </c>
      <c r="B1664" t="s">
        <v>2764</v>
      </c>
      <c r="C1664" t="s">
        <v>9</v>
      </c>
      <c r="D1664" t="s">
        <v>154</v>
      </c>
      <c r="E1664">
        <v>410</v>
      </c>
      <c r="F1664" t="b">
        <v>0</v>
      </c>
      <c r="G1664" t="str">
        <f>HYPERLINK("https://www.google.com/maps/search/?api=1&amp;query=24.77318492,46.74155101", "View Map")</f>
        <v>View Map</v>
      </c>
    </row>
    <row r="1665" spans="1:7" x14ac:dyDescent="0.3">
      <c r="A1665" t="s">
        <v>2765</v>
      </c>
      <c r="B1665" t="s">
        <v>2766</v>
      </c>
      <c r="C1665" t="s">
        <v>9</v>
      </c>
      <c r="D1665" t="s">
        <v>154</v>
      </c>
      <c r="E1665">
        <v>410</v>
      </c>
      <c r="F1665" t="b">
        <v>1</v>
      </c>
      <c r="G1665" t="str">
        <f>HYPERLINK("https://www.google.com/maps/search/?api=1&amp;query=24.78899029,46.82223183", "View Map")</f>
        <v>View Map</v>
      </c>
    </row>
    <row r="1666" spans="1:7" x14ac:dyDescent="0.3">
      <c r="A1666" t="s">
        <v>2767</v>
      </c>
      <c r="B1666" t="s">
        <v>2768</v>
      </c>
      <c r="C1666" t="s">
        <v>9</v>
      </c>
      <c r="D1666" t="s">
        <v>154</v>
      </c>
      <c r="E1666">
        <v>410</v>
      </c>
      <c r="F1666" t="b">
        <v>1</v>
      </c>
      <c r="G1666" t="str">
        <f>HYPERLINK("https://www.google.com/maps/search/?api=1&amp;query=24.56892928,46.80770772", "View Map")</f>
        <v>View Map</v>
      </c>
    </row>
    <row r="1667" spans="1:7" x14ac:dyDescent="0.3">
      <c r="A1667" t="s">
        <v>2769</v>
      </c>
      <c r="B1667" t="s">
        <v>2770</v>
      </c>
      <c r="C1667" t="s">
        <v>9</v>
      </c>
      <c r="D1667" t="s">
        <v>154</v>
      </c>
      <c r="E1667">
        <v>409</v>
      </c>
      <c r="F1667" t="b">
        <v>1</v>
      </c>
      <c r="G1667" t="str">
        <f>HYPERLINK("https://www.google.com/maps/search/?api=1&amp;query=24.57768278,46.56258624", "View Map")</f>
        <v>View Map</v>
      </c>
    </row>
    <row r="1668" spans="1:7" x14ac:dyDescent="0.3">
      <c r="A1668" t="s">
        <v>2771</v>
      </c>
      <c r="B1668" t="s">
        <v>2772</v>
      </c>
      <c r="C1668" t="s">
        <v>9</v>
      </c>
      <c r="D1668" t="s">
        <v>154</v>
      </c>
      <c r="E1668">
        <v>409</v>
      </c>
      <c r="F1668" t="b">
        <v>1</v>
      </c>
      <c r="G1668" t="str">
        <f>HYPERLINK("https://www.google.com/maps/search/?api=1&amp;query=24.5672239,46.85127791", "View Map")</f>
        <v>View Map</v>
      </c>
    </row>
    <row r="1669" spans="1:7" x14ac:dyDescent="0.3">
      <c r="A1669" t="s">
        <v>27</v>
      </c>
      <c r="B1669" t="s">
        <v>2773</v>
      </c>
      <c r="C1669" t="s">
        <v>9</v>
      </c>
      <c r="D1669" t="s">
        <v>154</v>
      </c>
      <c r="E1669">
        <v>409</v>
      </c>
      <c r="F1669" t="b">
        <v>1</v>
      </c>
      <c r="G1669" t="str">
        <f>HYPERLINK("https://www.google.com/maps/search/?api=1&amp;query=24.67102,46.713", "View Map")</f>
        <v>View Map</v>
      </c>
    </row>
    <row r="1670" spans="1:7" x14ac:dyDescent="0.3">
      <c r="A1670" t="s">
        <v>2774</v>
      </c>
      <c r="B1670" t="s">
        <v>2775</v>
      </c>
      <c r="C1670" t="s">
        <v>9</v>
      </c>
      <c r="D1670" t="s">
        <v>154</v>
      </c>
      <c r="E1670">
        <v>408</v>
      </c>
      <c r="F1670" t="b">
        <v>1</v>
      </c>
      <c r="G1670" t="str">
        <f>HYPERLINK("https://www.google.com/maps/search/?api=1&amp;query=24.72690391,46.81161775", "View Map")</f>
        <v>View Map</v>
      </c>
    </row>
    <row r="1671" spans="1:7" x14ac:dyDescent="0.3">
      <c r="A1671" t="s">
        <v>2776</v>
      </c>
      <c r="B1671" t="s">
        <v>2777</v>
      </c>
      <c r="C1671" t="s">
        <v>9</v>
      </c>
      <c r="D1671" t="s">
        <v>154</v>
      </c>
      <c r="E1671">
        <v>408</v>
      </c>
      <c r="F1671" t="b">
        <v>1</v>
      </c>
      <c r="G1671" t="str">
        <f>HYPERLINK("https://www.google.com/maps/search/?api=1&amp;query=24.63417627,46.71832189", "View Map")</f>
        <v>View Map</v>
      </c>
    </row>
    <row r="1672" spans="1:7" x14ac:dyDescent="0.3">
      <c r="A1672" t="s">
        <v>194</v>
      </c>
      <c r="B1672" t="s">
        <v>2778</v>
      </c>
      <c r="C1672" t="s">
        <v>9</v>
      </c>
      <c r="D1672" t="s">
        <v>154</v>
      </c>
      <c r="E1672">
        <v>408</v>
      </c>
      <c r="F1672" t="b">
        <v>1</v>
      </c>
      <c r="G1672" t="str">
        <f>HYPERLINK("https://www.google.com/maps/search/?api=1&amp;query=24.80272639,46.87163955", "View Map")</f>
        <v>View Map</v>
      </c>
    </row>
    <row r="1673" spans="1:7" x14ac:dyDescent="0.3">
      <c r="A1673" t="s">
        <v>2779</v>
      </c>
      <c r="B1673" t="s">
        <v>2780</v>
      </c>
      <c r="C1673" t="s">
        <v>9</v>
      </c>
      <c r="D1673" t="s">
        <v>154</v>
      </c>
      <c r="E1673">
        <v>408</v>
      </c>
      <c r="F1673" t="b">
        <v>1</v>
      </c>
      <c r="G1673" t="str">
        <f>HYPERLINK("https://www.google.com/maps/search/?api=1&amp;query=24.77764025,46.70036209", "View Map")</f>
        <v>View Map</v>
      </c>
    </row>
    <row r="1674" spans="1:7" x14ac:dyDescent="0.3">
      <c r="A1674" t="s">
        <v>27</v>
      </c>
      <c r="B1674" t="s">
        <v>2781</v>
      </c>
      <c r="C1674" t="s">
        <v>9</v>
      </c>
      <c r="D1674" t="s">
        <v>154</v>
      </c>
      <c r="E1674">
        <v>407</v>
      </c>
      <c r="F1674" t="b">
        <v>1</v>
      </c>
      <c r="G1674" t="str">
        <f>HYPERLINK("https://www.google.com/maps/search/?api=1&amp;query=24.80921122,46.67418771", "View Map")</f>
        <v>View Map</v>
      </c>
    </row>
    <row r="1675" spans="1:7" x14ac:dyDescent="0.3">
      <c r="A1675" t="s">
        <v>2782</v>
      </c>
      <c r="B1675" t="s">
        <v>2783</v>
      </c>
      <c r="C1675" t="s">
        <v>9</v>
      </c>
      <c r="D1675" t="s">
        <v>154</v>
      </c>
      <c r="E1675">
        <v>407</v>
      </c>
      <c r="F1675" t="b">
        <v>1</v>
      </c>
      <c r="G1675" t="str">
        <f>HYPERLINK("https://www.google.com/maps/search/?api=1&amp;query=24.61086386,46.7418818", "View Map")</f>
        <v>View Map</v>
      </c>
    </row>
    <row r="1676" spans="1:7" x14ac:dyDescent="0.3">
      <c r="A1676" t="s">
        <v>2784</v>
      </c>
      <c r="B1676" t="s">
        <v>2785</v>
      </c>
      <c r="C1676" t="s">
        <v>9</v>
      </c>
      <c r="D1676" t="s">
        <v>154</v>
      </c>
      <c r="E1676">
        <v>407</v>
      </c>
      <c r="F1676" t="b">
        <v>0</v>
      </c>
      <c r="G1676" t="str">
        <f>HYPERLINK("https://www.google.com/maps/search/?api=1&amp;query=24.68333919,46.75265711", "View Map")</f>
        <v>View Map</v>
      </c>
    </row>
    <row r="1677" spans="1:7" x14ac:dyDescent="0.3">
      <c r="A1677" t="s">
        <v>2786</v>
      </c>
      <c r="B1677" t="s">
        <v>2787</v>
      </c>
      <c r="C1677" t="s">
        <v>9</v>
      </c>
      <c r="D1677" t="s">
        <v>154</v>
      </c>
      <c r="E1677">
        <v>407</v>
      </c>
      <c r="F1677" t="b">
        <v>1</v>
      </c>
      <c r="G1677" t="str">
        <f>HYPERLINK("https://www.google.com/maps/search/?api=1&amp;query=24.55758165,46.78406404", "View Map")</f>
        <v>View Map</v>
      </c>
    </row>
    <row r="1678" spans="1:7" x14ac:dyDescent="0.3">
      <c r="A1678" t="s">
        <v>2788</v>
      </c>
      <c r="B1678" t="s">
        <v>2789</v>
      </c>
      <c r="C1678" t="s">
        <v>9</v>
      </c>
      <c r="D1678" t="s">
        <v>154</v>
      </c>
      <c r="E1678">
        <v>407</v>
      </c>
      <c r="F1678" t="b">
        <v>0</v>
      </c>
      <c r="G1678" t="str">
        <f>HYPERLINK("https://www.google.com/maps/search/?api=1&amp;query=24.67227442,46.7402632", "View Map")</f>
        <v>View Map</v>
      </c>
    </row>
    <row r="1679" spans="1:7" x14ac:dyDescent="0.3">
      <c r="A1679" t="s">
        <v>2790</v>
      </c>
      <c r="B1679" t="s">
        <v>2791</v>
      </c>
      <c r="C1679" t="s">
        <v>9</v>
      </c>
      <c r="D1679" t="s">
        <v>154</v>
      </c>
      <c r="E1679">
        <v>406</v>
      </c>
      <c r="F1679" t="b">
        <v>1</v>
      </c>
      <c r="G1679" t="str">
        <f>HYPERLINK("https://www.google.com/maps/search/?api=1&amp;query=24.81959664,46.64769764", "View Map")</f>
        <v>View Map</v>
      </c>
    </row>
    <row r="1680" spans="1:7" x14ac:dyDescent="0.3">
      <c r="A1680" t="s">
        <v>2792</v>
      </c>
      <c r="B1680" t="s">
        <v>2793</v>
      </c>
      <c r="C1680" t="s">
        <v>9</v>
      </c>
      <c r="D1680" t="s">
        <v>154</v>
      </c>
      <c r="E1680">
        <v>406</v>
      </c>
      <c r="F1680" t="b">
        <v>1</v>
      </c>
      <c r="G1680" t="str">
        <f>HYPERLINK("https://www.google.com/maps/search/?api=1&amp;query=24.75253842,46.77390533", "View Map")</f>
        <v>View Map</v>
      </c>
    </row>
    <row r="1681" spans="1:7" x14ac:dyDescent="0.3">
      <c r="A1681" t="s">
        <v>2794</v>
      </c>
      <c r="B1681" t="s">
        <v>2795</v>
      </c>
      <c r="C1681" t="s">
        <v>9</v>
      </c>
      <c r="D1681" t="s">
        <v>154</v>
      </c>
      <c r="E1681">
        <v>405</v>
      </c>
      <c r="F1681" t="b">
        <v>1</v>
      </c>
      <c r="G1681" t="str">
        <f>HYPERLINK("https://www.google.com/maps/search/?api=1&amp;query=24.57971703,46.53004934", "View Map")</f>
        <v>View Map</v>
      </c>
    </row>
    <row r="1682" spans="1:7" x14ac:dyDescent="0.3">
      <c r="A1682" t="s">
        <v>2511</v>
      </c>
      <c r="B1682" t="s">
        <v>2796</v>
      </c>
      <c r="C1682" t="s">
        <v>9</v>
      </c>
      <c r="D1682" t="s">
        <v>154</v>
      </c>
      <c r="E1682">
        <v>404</v>
      </c>
      <c r="F1682" t="b">
        <v>1</v>
      </c>
      <c r="G1682" t="str">
        <f>HYPERLINK("https://www.google.com/maps/search/?api=1&amp;query=24.6973241,46.79997058", "View Map")</f>
        <v>View Map</v>
      </c>
    </row>
    <row r="1683" spans="1:7" x14ac:dyDescent="0.3">
      <c r="A1683" t="s">
        <v>2797</v>
      </c>
      <c r="B1683" t="s">
        <v>2798</v>
      </c>
      <c r="C1683" t="s">
        <v>9</v>
      </c>
      <c r="D1683" t="s">
        <v>154</v>
      </c>
      <c r="E1683">
        <v>403</v>
      </c>
      <c r="F1683" t="b">
        <v>1</v>
      </c>
      <c r="G1683" t="str">
        <f>HYPERLINK("https://www.google.com/maps/search/?api=1&amp;query=24.77815313,46.7244194", "View Map")</f>
        <v>View Map</v>
      </c>
    </row>
    <row r="1684" spans="1:7" x14ac:dyDescent="0.3">
      <c r="A1684" t="s">
        <v>2799</v>
      </c>
      <c r="B1684" t="s">
        <v>2800</v>
      </c>
      <c r="C1684" t="s">
        <v>9</v>
      </c>
      <c r="D1684" t="s">
        <v>154</v>
      </c>
      <c r="E1684">
        <v>402</v>
      </c>
      <c r="F1684" t="b">
        <v>1</v>
      </c>
      <c r="G1684" t="str">
        <f>HYPERLINK("https://www.google.com/maps/search/?api=1&amp;query=24.7878944,46.80593822", "View Map")</f>
        <v>View Map</v>
      </c>
    </row>
    <row r="1685" spans="1:7" x14ac:dyDescent="0.3">
      <c r="A1685" t="s">
        <v>2801</v>
      </c>
      <c r="B1685" t="s">
        <v>2802</v>
      </c>
      <c r="C1685" t="s">
        <v>9</v>
      </c>
      <c r="D1685" t="s">
        <v>154</v>
      </c>
      <c r="E1685">
        <v>402</v>
      </c>
      <c r="F1685" t="b">
        <v>0</v>
      </c>
      <c r="G1685" t="str">
        <f>HYPERLINK("https://www.google.com/maps/search/?api=1&amp;query=24.60752239,46.63843409", "View Map")</f>
        <v>View Map</v>
      </c>
    </row>
    <row r="1686" spans="1:7" x14ac:dyDescent="0.3">
      <c r="A1686" t="s">
        <v>27</v>
      </c>
      <c r="B1686" t="s">
        <v>2803</v>
      </c>
      <c r="C1686" t="s">
        <v>9</v>
      </c>
      <c r="D1686" t="s">
        <v>154</v>
      </c>
      <c r="E1686">
        <v>401</v>
      </c>
      <c r="F1686" t="b">
        <v>1</v>
      </c>
      <c r="G1686" t="str">
        <f>HYPERLINK("https://www.google.com/maps/search/?api=1&amp;query=24.80967674,46.75223609", "View Map")</f>
        <v>View Map</v>
      </c>
    </row>
    <row r="1687" spans="1:7" x14ac:dyDescent="0.3">
      <c r="A1687" t="s">
        <v>2804</v>
      </c>
      <c r="B1687" t="s">
        <v>2805</v>
      </c>
      <c r="C1687" t="s">
        <v>9</v>
      </c>
      <c r="D1687" t="s">
        <v>154</v>
      </c>
      <c r="E1687">
        <v>401</v>
      </c>
      <c r="F1687" t="b">
        <v>1</v>
      </c>
      <c r="G1687" t="str">
        <f>HYPERLINK("https://www.google.com/maps/search/?api=1&amp;query=24.60861776,46.75208462", "View Map")</f>
        <v>View Map</v>
      </c>
    </row>
    <row r="1688" spans="1:7" x14ac:dyDescent="0.3">
      <c r="A1688" t="s">
        <v>2806</v>
      </c>
      <c r="B1688" t="s">
        <v>2807</v>
      </c>
      <c r="C1688" t="s">
        <v>9</v>
      </c>
      <c r="D1688" t="s">
        <v>154</v>
      </c>
      <c r="E1688">
        <v>400</v>
      </c>
      <c r="F1688" t="b">
        <v>1</v>
      </c>
      <c r="G1688" t="str">
        <f>HYPERLINK("https://www.google.com/maps/search/?api=1&amp;query=24.57911872,46.60023553", "View Map")</f>
        <v>View Map</v>
      </c>
    </row>
    <row r="1689" spans="1:7" x14ac:dyDescent="0.3">
      <c r="A1689" t="s">
        <v>2808</v>
      </c>
      <c r="B1689" t="s">
        <v>2809</v>
      </c>
      <c r="C1689" t="s">
        <v>9</v>
      </c>
      <c r="D1689" t="s">
        <v>154</v>
      </c>
      <c r="E1689">
        <v>399</v>
      </c>
      <c r="F1689" t="b">
        <v>1</v>
      </c>
      <c r="G1689" t="str">
        <f>HYPERLINK("https://www.google.com/maps/search/?api=1&amp;query=24.6030049,46.74012515", "View Map")</f>
        <v>View Map</v>
      </c>
    </row>
    <row r="1690" spans="1:7" x14ac:dyDescent="0.3">
      <c r="A1690" t="s">
        <v>159</v>
      </c>
      <c r="B1690" t="s">
        <v>2810</v>
      </c>
      <c r="C1690" t="s">
        <v>9</v>
      </c>
      <c r="D1690" t="s">
        <v>154</v>
      </c>
      <c r="E1690">
        <v>399</v>
      </c>
      <c r="F1690" t="b">
        <v>0</v>
      </c>
      <c r="G1690" t="str">
        <f>HYPERLINK("https://www.google.com/maps/search/?api=1&amp;query=24.55363955,46.6674507", "View Map")</f>
        <v>View Map</v>
      </c>
    </row>
    <row r="1691" spans="1:7" x14ac:dyDescent="0.3">
      <c r="A1691" t="s">
        <v>2811</v>
      </c>
      <c r="B1691" t="s">
        <v>2812</v>
      </c>
      <c r="C1691" t="s">
        <v>9</v>
      </c>
      <c r="D1691" t="s">
        <v>154</v>
      </c>
      <c r="E1691">
        <v>399</v>
      </c>
      <c r="F1691" t="b">
        <v>1</v>
      </c>
      <c r="G1691" t="str">
        <f>HYPERLINK("https://www.google.com/maps/search/?api=1&amp;query=24.58642562,46.61800224", "View Map")</f>
        <v>View Map</v>
      </c>
    </row>
    <row r="1692" spans="1:7" x14ac:dyDescent="0.3">
      <c r="A1692" t="s">
        <v>2813</v>
      </c>
      <c r="B1692" t="s">
        <v>2814</v>
      </c>
      <c r="C1692" t="s">
        <v>9</v>
      </c>
      <c r="D1692" t="s">
        <v>154</v>
      </c>
      <c r="E1692">
        <v>397</v>
      </c>
      <c r="F1692" t="b">
        <v>1</v>
      </c>
      <c r="G1692" t="str">
        <f>HYPERLINK("https://www.google.com/maps/search/?api=1&amp;query=24.86473785,46.64968371", "View Map")</f>
        <v>View Map</v>
      </c>
    </row>
    <row r="1693" spans="1:7" x14ac:dyDescent="0.3">
      <c r="A1693" t="s">
        <v>1764</v>
      </c>
      <c r="B1693" t="s">
        <v>2815</v>
      </c>
      <c r="C1693" t="s">
        <v>9</v>
      </c>
      <c r="D1693" t="s">
        <v>154</v>
      </c>
      <c r="E1693">
        <v>396</v>
      </c>
      <c r="F1693" t="b">
        <v>0</v>
      </c>
      <c r="G1693" t="str">
        <f>HYPERLINK("https://www.google.com/maps/search/?api=1&amp;query=24.81208172,46.89562343", "View Map")</f>
        <v>View Map</v>
      </c>
    </row>
    <row r="1694" spans="1:7" x14ac:dyDescent="0.3">
      <c r="A1694" t="s">
        <v>2816</v>
      </c>
      <c r="B1694" t="s">
        <v>2817</v>
      </c>
      <c r="C1694" t="s">
        <v>9</v>
      </c>
      <c r="D1694" t="s">
        <v>1715</v>
      </c>
      <c r="E1694">
        <v>395</v>
      </c>
      <c r="F1694" t="b">
        <v>1</v>
      </c>
      <c r="G1694" t="str">
        <f>HYPERLINK("https://www.google.com/maps/search/?api=1&amp;query=24.66241953,46.70152815", "View Map")</f>
        <v>View Map</v>
      </c>
    </row>
    <row r="1695" spans="1:7" x14ac:dyDescent="0.3">
      <c r="A1695" t="s">
        <v>2818</v>
      </c>
      <c r="B1695" t="s">
        <v>2819</v>
      </c>
      <c r="C1695" t="s">
        <v>9</v>
      </c>
      <c r="D1695" t="s">
        <v>154</v>
      </c>
      <c r="E1695">
        <v>394</v>
      </c>
      <c r="F1695" t="b">
        <v>1</v>
      </c>
      <c r="G1695" t="str">
        <f>HYPERLINK("https://www.google.com/maps/search/?api=1&amp;query=24.57467219,46.7800645", "View Map")</f>
        <v>View Map</v>
      </c>
    </row>
    <row r="1696" spans="1:7" x14ac:dyDescent="0.3">
      <c r="A1696" t="s">
        <v>1043</v>
      </c>
      <c r="B1696" t="s">
        <v>2820</v>
      </c>
      <c r="C1696" t="s">
        <v>9</v>
      </c>
      <c r="D1696" t="s">
        <v>154</v>
      </c>
      <c r="E1696">
        <v>394</v>
      </c>
      <c r="F1696" t="b">
        <v>1</v>
      </c>
      <c r="G1696" t="str">
        <f>HYPERLINK("https://www.google.com/maps/search/?api=1&amp;query=24.77325432,46.63898777", "View Map")</f>
        <v>View Map</v>
      </c>
    </row>
    <row r="1697" spans="1:7" x14ac:dyDescent="0.3">
      <c r="A1697" t="s">
        <v>2821</v>
      </c>
      <c r="B1697" t="s">
        <v>2822</v>
      </c>
      <c r="C1697" t="s">
        <v>9</v>
      </c>
      <c r="D1697" t="s">
        <v>154</v>
      </c>
      <c r="E1697">
        <v>393</v>
      </c>
      <c r="F1697" t="b">
        <v>1</v>
      </c>
      <c r="G1697" t="str">
        <f>HYPERLINK("https://www.google.com/maps/search/?api=1&amp;query=24.6122,46.7019", "View Map")</f>
        <v>View Map</v>
      </c>
    </row>
    <row r="1698" spans="1:7" x14ac:dyDescent="0.3">
      <c r="A1698" t="s">
        <v>159</v>
      </c>
      <c r="B1698" t="s">
        <v>2823</v>
      </c>
      <c r="C1698" t="s">
        <v>9</v>
      </c>
      <c r="D1698" t="s">
        <v>154</v>
      </c>
      <c r="E1698">
        <v>392</v>
      </c>
      <c r="F1698" t="b">
        <v>0</v>
      </c>
      <c r="G1698" t="str">
        <f>HYPERLINK("https://www.google.com/maps/search/?api=1&amp;query=24.51664533,46.66644697", "View Map")</f>
        <v>View Map</v>
      </c>
    </row>
    <row r="1699" spans="1:7" x14ac:dyDescent="0.3">
      <c r="A1699" t="s">
        <v>2824</v>
      </c>
      <c r="B1699" t="s">
        <v>2825</v>
      </c>
      <c r="C1699" t="s">
        <v>9</v>
      </c>
      <c r="D1699" t="s">
        <v>154</v>
      </c>
      <c r="E1699">
        <v>389</v>
      </c>
      <c r="F1699" t="b">
        <v>1</v>
      </c>
      <c r="G1699" t="str">
        <f>HYPERLINK("https://www.google.com/maps/search/?api=1&amp;query=24.69909441,46.82676965", "View Map")</f>
        <v>View Map</v>
      </c>
    </row>
    <row r="1700" spans="1:7" x14ac:dyDescent="0.3">
      <c r="A1700" t="s">
        <v>487</v>
      </c>
      <c r="B1700" t="s">
        <v>2826</v>
      </c>
      <c r="C1700" t="s">
        <v>9</v>
      </c>
      <c r="D1700" t="s">
        <v>154</v>
      </c>
      <c r="E1700">
        <v>388</v>
      </c>
      <c r="F1700" t="b">
        <v>1</v>
      </c>
      <c r="G1700" t="str">
        <f>HYPERLINK("https://www.google.com/maps/search/?api=1&amp;query=24.61390532,46.86947896", "View Map")</f>
        <v>View Map</v>
      </c>
    </row>
    <row r="1701" spans="1:7" x14ac:dyDescent="0.3">
      <c r="A1701" t="s">
        <v>2827</v>
      </c>
      <c r="B1701" t="s">
        <v>2828</v>
      </c>
      <c r="C1701" t="s">
        <v>9</v>
      </c>
      <c r="D1701" t="s">
        <v>154</v>
      </c>
      <c r="E1701">
        <v>386</v>
      </c>
      <c r="F1701" t="b">
        <v>0</v>
      </c>
      <c r="G1701" t="str">
        <f>HYPERLINK("https://www.google.com/maps/search/?api=1&amp;query=24.64237338,46.70168903", "View Map")</f>
        <v>View Map</v>
      </c>
    </row>
    <row r="1702" spans="1:7" x14ac:dyDescent="0.3">
      <c r="A1702" t="s">
        <v>27</v>
      </c>
      <c r="B1702" t="s">
        <v>2829</v>
      </c>
      <c r="C1702" t="s">
        <v>9</v>
      </c>
      <c r="D1702" t="s">
        <v>154</v>
      </c>
      <c r="E1702">
        <v>386</v>
      </c>
      <c r="F1702" t="b">
        <v>1</v>
      </c>
      <c r="G1702" t="str">
        <f>HYPERLINK("https://www.google.com/maps/search/?api=1&amp;query=24.7851743,46.90611436", "View Map")</f>
        <v>View Map</v>
      </c>
    </row>
    <row r="1703" spans="1:7" x14ac:dyDescent="0.3">
      <c r="A1703" t="s">
        <v>2830</v>
      </c>
      <c r="B1703" t="s">
        <v>2831</v>
      </c>
      <c r="C1703" t="s">
        <v>9</v>
      </c>
      <c r="D1703" t="s">
        <v>154</v>
      </c>
      <c r="E1703">
        <v>380</v>
      </c>
      <c r="F1703" t="b">
        <v>0</v>
      </c>
      <c r="G1703" t="str">
        <f>HYPERLINK("https://www.google.com/maps/search/?api=1&amp;query=24.5741245,46.67866138", "View Map")</f>
        <v>View Map</v>
      </c>
    </row>
    <row r="1704" spans="1:7" x14ac:dyDescent="0.3">
      <c r="A1704" t="s">
        <v>390</v>
      </c>
      <c r="B1704" t="s">
        <v>2832</v>
      </c>
      <c r="C1704" t="s">
        <v>9</v>
      </c>
      <c r="D1704" t="s">
        <v>154</v>
      </c>
      <c r="E1704">
        <v>377</v>
      </c>
      <c r="F1704" t="b">
        <v>1</v>
      </c>
      <c r="G1704" t="str">
        <f>HYPERLINK("https://www.google.com/maps/search/?api=1&amp;query=24.80660484,46.6263806", "View Map")</f>
        <v>View Map</v>
      </c>
    </row>
    <row r="1705" spans="1:7" x14ac:dyDescent="0.3">
      <c r="A1705" t="s">
        <v>27</v>
      </c>
      <c r="B1705" t="s">
        <v>2833</v>
      </c>
      <c r="C1705" t="s">
        <v>9</v>
      </c>
      <c r="D1705" t="s">
        <v>154</v>
      </c>
      <c r="E1705">
        <v>376</v>
      </c>
      <c r="F1705" t="b">
        <v>1</v>
      </c>
      <c r="G1705" t="str">
        <f>HYPERLINK("https://www.google.com/maps/search/?api=1&amp;query=24.89492274,46.60397661", "View Map")</f>
        <v>View Map</v>
      </c>
    </row>
    <row r="1706" spans="1:7" x14ac:dyDescent="0.3">
      <c r="A1706" t="s">
        <v>2834</v>
      </c>
      <c r="B1706" t="s">
        <v>2835</v>
      </c>
      <c r="C1706" t="s">
        <v>9</v>
      </c>
      <c r="D1706" t="s">
        <v>154</v>
      </c>
      <c r="E1706">
        <v>374</v>
      </c>
      <c r="F1706" t="b">
        <v>1</v>
      </c>
      <c r="G1706" t="str">
        <f>HYPERLINK("https://www.google.com/maps/search/?api=1&amp;query=24.55796898,46.72210527", "View Map")</f>
        <v>View Map</v>
      </c>
    </row>
    <row r="1707" spans="1:7" x14ac:dyDescent="0.3">
      <c r="A1707" t="s">
        <v>390</v>
      </c>
      <c r="B1707" t="s">
        <v>2836</v>
      </c>
      <c r="C1707" t="s">
        <v>9</v>
      </c>
      <c r="D1707" t="s">
        <v>154</v>
      </c>
      <c r="E1707">
        <v>372</v>
      </c>
      <c r="F1707" t="b">
        <v>1</v>
      </c>
      <c r="G1707" t="str">
        <f>HYPERLINK("https://www.google.com/maps/search/?api=1&amp;query=24.77366523,46.59357873", "View Map")</f>
        <v>View Map</v>
      </c>
    </row>
    <row r="1708" spans="1:7" x14ac:dyDescent="0.3">
      <c r="A1708" t="s">
        <v>27</v>
      </c>
      <c r="B1708" t="s">
        <v>2837</v>
      </c>
      <c r="C1708" t="s">
        <v>9</v>
      </c>
      <c r="D1708" t="s">
        <v>154</v>
      </c>
      <c r="E1708">
        <v>367</v>
      </c>
      <c r="F1708" t="b">
        <v>1</v>
      </c>
      <c r="G1708" t="str">
        <f>HYPERLINK("https://www.google.com/maps/search/?api=1&amp;query=24.8711394,46.66222365", "View Map")</f>
        <v>View Map</v>
      </c>
    </row>
    <row r="1709" spans="1:7" x14ac:dyDescent="0.3">
      <c r="A1709" t="s">
        <v>2838</v>
      </c>
      <c r="B1709" t="s">
        <v>2839</v>
      </c>
      <c r="C1709" t="s">
        <v>9</v>
      </c>
      <c r="D1709" t="s">
        <v>154</v>
      </c>
      <c r="E1709">
        <v>365</v>
      </c>
      <c r="F1709" t="b">
        <v>1</v>
      </c>
      <c r="G1709" t="str">
        <f>HYPERLINK("https://www.google.com/maps/search/?api=1&amp;query=24.61597068,46.7530875", "View Map")</f>
        <v>View Map</v>
      </c>
    </row>
    <row r="1710" spans="1:7" x14ac:dyDescent="0.3">
      <c r="A1710" t="s">
        <v>1484</v>
      </c>
      <c r="B1710" t="s">
        <v>2840</v>
      </c>
      <c r="C1710" t="s">
        <v>9</v>
      </c>
      <c r="D1710" t="s">
        <v>154</v>
      </c>
      <c r="E1710">
        <v>359</v>
      </c>
      <c r="F1710" t="b">
        <v>1</v>
      </c>
      <c r="G1710" t="str">
        <f>HYPERLINK("https://www.google.com/maps/search/?api=1&amp;query=24.78433462,46.79192822", "View Map")</f>
        <v>View Map</v>
      </c>
    </row>
    <row r="1711" spans="1:7" x14ac:dyDescent="0.3">
      <c r="A1711" t="s">
        <v>2841</v>
      </c>
      <c r="B1711" t="s">
        <v>2842</v>
      </c>
      <c r="C1711" t="s">
        <v>9</v>
      </c>
      <c r="D1711" t="s">
        <v>1715</v>
      </c>
      <c r="E1711">
        <v>355</v>
      </c>
      <c r="F1711" t="b">
        <v>1</v>
      </c>
      <c r="G1711" t="str">
        <f>HYPERLINK("https://www.google.com/maps/search/?api=1&amp;query=24.69105104,46.60085528", "View Map")</f>
        <v>View Map</v>
      </c>
    </row>
    <row r="1712" spans="1:7" x14ac:dyDescent="0.3">
      <c r="A1712" t="s">
        <v>1259</v>
      </c>
      <c r="B1712" t="s">
        <v>2843</v>
      </c>
      <c r="C1712" t="s">
        <v>9</v>
      </c>
      <c r="D1712" t="s">
        <v>1715</v>
      </c>
      <c r="E1712">
        <v>347</v>
      </c>
      <c r="F1712" t="b">
        <v>1</v>
      </c>
      <c r="G1712" t="str">
        <f>HYPERLINK("https://www.google.com/maps/search/?api=1&amp;query=24.79632194,46.70051198", "View Map")</f>
        <v>View Map</v>
      </c>
    </row>
    <row r="1713" spans="1:7" x14ac:dyDescent="0.3">
      <c r="A1713" t="s">
        <v>2844</v>
      </c>
      <c r="B1713" t="s">
        <v>2845</v>
      </c>
      <c r="C1713" t="s">
        <v>9</v>
      </c>
      <c r="D1713" t="s">
        <v>1715</v>
      </c>
      <c r="E1713">
        <v>347</v>
      </c>
      <c r="F1713" t="b">
        <v>0</v>
      </c>
      <c r="G1713" t="str">
        <f>HYPERLINK("https://www.google.com/maps/search/?api=1&amp;query=24.74345091,46.75898679", "View Map")</f>
        <v>View Map</v>
      </c>
    </row>
    <row r="1714" spans="1:7" x14ac:dyDescent="0.3">
      <c r="A1714" t="s">
        <v>2846</v>
      </c>
      <c r="B1714" t="s">
        <v>2847</v>
      </c>
      <c r="C1714" t="s">
        <v>9</v>
      </c>
      <c r="D1714" t="s">
        <v>154</v>
      </c>
      <c r="E1714">
        <v>338</v>
      </c>
      <c r="F1714" t="b">
        <v>1</v>
      </c>
      <c r="G1714" t="str">
        <f>HYPERLINK("https://www.google.com/maps/search/?api=1&amp;query=24.53823545,46.63657867", "View Map")</f>
        <v>View Map</v>
      </c>
    </row>
    <row r="1715" spans="1:7" x14ac:dyDescent="0.3">
      <c r="A1715" t="s">
        <v>2848</v>
      </c>
      <c r="B1715" t="s">
        <v>2849</v>
      </c>
      <c r="C1715" t="s">
        <v>9</v>
      </c>
      <c r="D1715" t="s">
        <v>154</v>
      </c>
      <c r="E1715">
        <v>332</v>
      </c>
      <c r="F1715" t="b">
        <v>1</v>
      </c>
      <c r="G1715" t="str">
        <f>HYPERLINK("https://www.google.com/maps/search/?api=1&amp;query=24.66201512,46.66768564", "View Map")</f>
        <v>View Map</v>
      </c>
    </row>
    <row r="1716" spans="1:7" x14ac:dyDescent="0.3">
      <c r="A1716" t="s">
        <v>2850</v>
      </c>
      <c r="B1716" t="s">
        <v>2851</v>
      </c>
      <c r="C1716" t="s">
        <v>9</v>
      </c>
      <c r="D1716" t="s">
        <v>154</v>
      </c>
      <c r="E1716">
        <v>327</v>
      </c>
      <c r="F1716" t="b">
        <v>1</v>
      </c>
      <c r="G1716" t="str">
        <f>HYPERLINK("https://www.google.com/maps/search/?api=1&amp;query=24.60901286,46.60862451", "View Map")</f>
        <v>View Map</v>
      </c>
    </row>
    <row r="1717" spans="1:7" x14ac:dyDescent="0.3">
      <c r="A1717" t="s">
        <v>1204</v>
      </c>
      <c r="B1717" t="s">
        <v>2852</v>
      </c>
      <c r="C1717" t="s">
        <v>9</v>
      </c>
      <c r="D1717" t="s">
        <v>154</v>
      </c>
      <c r="E1717">
        <v>324</v>
      </c>
      <c r="F1717" t="b">
        <v>1</v>
      </c>
      <c r="G1717" t="str">
        <f>HYPERLINK("https://www.google.com/maps/search/?api=1&amp;query=24.56043827,46.71587598", "View Map")</f>
        <v>View Map</v>
      </c>
    </row>
    <row r="1718" spans="1:7" x14ac:dyDescent="0.3">
      <c r="A1718" t="s">
        <v>2853</v>
      </c>
      <c r="B1718" t="s">
        <v>2854</v>
      </c>
      <c r="C1718" t="s">
        <v>9</v>
      </c>
      <c r="D1718" t="s">
        <v>1715</v>
      </c>
      <c r="E1718">
        <v>321</v>
      </c>
      <c r="F1718" t="b">
        <v>1</v>
      </c>
      <c r="G1718" t="str">
        <f>HYPERLINK("https://www.google.com/maps/search/?api=1&amp;query=24.74849,46.63606", "View Map")</f>
        <v>View Map</v>
      </c>
    </row>
    <row r="1719" spans="1:7" x14ac:dyDescent="0.3">
      <c r="A1719" t="s">
        <v>27</v>
      </c>
      <c r="B1719" t="s">
        <v>2855</v>
      </c>
      <c r="C1719" t="s">
        <v>9</v>
      </c>
      <c r="D1719" t="s">
        <v>1715</v>
      </c>
      <c r="E1719">
        <v>318</v>
      </c>
      <c r="F1719" t="b">
        <v>0</v>
      </c>
      <c r="G1719" t="str">
        <f>HYPERLINK("https://www.google.com/maps/search/?api=1&amp;query=24.85776149,46.63080403", "View Map")</f>
        <v>View Map</v>
      </c>
    </row>
    <row r="1720" spans="1:7" x14ac:dyDescent="0.3">
      <c r="A1720" t="s">
        <v>27</v>
      </c>
      <c r="B1720" t="s">
        <v>2856</v>
      </c>
      <c r="C1720" t="s">
        <v>9</v>
      </c>
      <c r="D1720" t="s">
        <v>154</v>
      </c>
      <c r="E1720">
        <v>308</v>
      </c>
      <c r="F1720" t="b">
        <v>0</v>
      </c>
      <c r="G1720" t="str">
        <f>HYPERLINK("https://www.google.com/maps/search/?api=1&amp;query=24.85500732,46.84684564", "View Map")</f>
        <v>View Map</v>
      </c>
    </row>
    <row r="1721" spans="1:7" x14ac:dyDescent="0.3">
      <c r="A1721" t="s">
        <v>2857</v>
      </c>
      <c r="B1721" t="s">
        <v>2858</v>
      </c>
      <c r="C1721" t="s">
        <v>9</v>
      </c>
      <c r="D1721" t="s">
        <v>1715</v>
      </c>
      <c r="E1721">
        <v>306</v>
      </c>
      <c r="F1721" t="b">
        <v>1</v>
      </c>
      <c r="G1721" t="str">
        <f>HYPERLINK("https://www.google.com/maps/search/?api=1&amp;query=24.6256551,46.69616648", "View Map")</f>
        <v>View Map</v>
      </c>
    </row>
    <row r="1722" spans="1:7" x14ac:dyDescent="0.3">
      <c r="A1722" t="s">
        <v>2859</v>
      </c>
      <c r="B1722" t="s">
        <v>2860</v>
      </c>
      <c r="C1722" t="s">
        <v>9</v>
      </c>
      <c r="D1722" t="s">
        <v>154</v>
      </c>
      <c r="E1722">
        <v>295</v>
      </c>
      <c r="F1722" t="b">
        <v>0</v>
      </c>
      <c r="G1722" t="str">
        <f>HYPERLINK("https://www.google.com/maps/search/?api=1&amp;query=24.60033597,46.59390248", "View Map")</f>
        <v>View Map</v>
      </c>
    </row>
    <row r="1723" spans="1:7" x14ac:dyDescent="0.3">
      <c r="A1723" t="s">
        <v>2861</v>
      </c>
      <c r="B1723" t="s">
        <v>2862</v>
      </c>
      <c r="C1723" t="s">
        <v>9</v>
      </c>
      <c r="D1723" t="s">
        <v>154</v>
      </c>
      <c r="E1723">
        <v>284</v>
      </c>
      <c r="F1723" t="b">
        <v>1</v>
      </c>
      <c r="G1723" t="str">
        <f>HYPERLINK("https://www.google.com/maps/search/?api=1&amp;query=24.74673111,46.6790529", "View Map")</f>
        <v>View Map</v>
      </c>
    </row>
    <row r="1724" spans="1:7" x14ac:dyDescent="0.3">
      <c r="A1724" t="s">
        <v>27</v>
      </c>
      <c r="B1724" t="s">
        <v>2863</v>
      </c>
      <c r="C1724" t="s">
        <v>9</v>
      </c>
      <c r="D1724" t="s">
        <v>1715</v>
      </c>
      <c r="E1724">
        <v>279</v>
      </c>
      <c r="F1724" t="b">
        <v>1</v>
      </c>
      <c r="G1724" t="str">
        <f>HYPERLINK("https://www.google.com/maps/search/?api=1&amp;query=24.6192,46.5272", "View Map")</f>
        <v>View Map</v>
      </c>
    </row>
    <row r="1725" spans="1:7" x14ac:dyDescent="0.3">
      <c r="A1725" t="s">
        <v>2864</v>
      </c>
      <c r="B1725" t="s">
        <v>2865</v>
      </c>
      <c r="C1725" t="s">
        <v>9</v>
      </c>
      <c r="D1725" t="s">
        <v>1715</v>
      </c>
      <c r="E1725">
        <v>277</v>
      </c>
      <c r="F1725" t="b">
        <v>1</v>
      </c>
      <c r="G1725" t="str">
        <f>HYPERLINK("https://www.google.com/maps/search/?api=1&amp;query=24.56304492,46.75907001", "View Map")</f>
        <v>View Map</v>
      </c>
    </row>
    <row r="1726" spans="1:7" x14ac:dyDescent="0.3">
      <c r="A1726" t="s">
        <v>2866</v>
      </c>
      <c r="B1726" t="s">
        <v>2867</v>
      </c>
      <c r="C1726" t="s">
        <v>9</v>
      </c>
      <c r="D1726" t="s">
        <v>1715</v>
      </c>
      <c r="E1726">
        <v>277</v>
      </c>
      <c r="F1726" t="b">
        <v>0</v>
      </c>
      <c r="G1726" t="str">
        <f>HYPERLINK("https://www.google.com/maps/search/?api=1&amp;query=24.74523668,46.69850195", "View Map")</f>
        <v>View Map</v>
      </c>
    </row>
    <row r="1727" spans="1:7" x14ac:dyDescent="0.3">
      <c r="A1727" t="s">
        <v>2868</v>
      </c>
      <c r="B1727" t="s">
        <v>2869</v>
      </c>
      <c r="C1727" t="s">
        <v>9</v>
      </c>
      <c r="D1727" t="s">
        <v>1715</v>
      </c>
      <c r="E1727">
        <v>274</v>
      </c>
      <c r="F1727" t="b">
        <v>1</v>
      </c>
      <c r="G1727" t="str">
        <f>HYPERLINK("https://www.google.com/maps/search/?api=1&amp;query=24.68521954,46.78836918", "View Map")</f>
        <v>View Map</v>
      </c>
    </row>
    <row r="1728" spans="1:7" x14ac:dyDescent="0.3">
      <c r="A1728" t="s">
        <v>2870</v>
      </c>
      <c r="B1728" t="s">
        <v>2871</v>
      </c>
      <c r="C1728" t="s">
        <v>9</v>
      </c>
      <c r="D1728" t="s">
        <v>1715</v>
      </c>
      <c r="E1728">
        <v>270</v>
      </c>
      <c r="F1728" t="b">
        <v>1</v>
      </c>
      <c r="G1728" t="str">
        <f>HYPERLINK("https://www.google.com/maps/search/?api=1&amp;query=24.67257506,46.78733377", "View Map")</f>
        <v>View Map</v>
      </c>
    </row>
    <row r="1729" spans="1:7" x14ac:dyDescent="0.3">
      <c r="A1729" t="s">
        <v>2872</v>
      </c>
      <c r="B1729" t="s">
        <v>2873</v>
      </c>
      <c r="C1729" t="s">
        <v>9</v>
      </c>
      <c r="D1729" t="s">
        <v>1715</v>
      </c>
      <c r="E1729">
        <v>269</v>
      </c>
      <c r="F1729" t="b">
        <v>1</v>
      </c>
      <c r="G1729" t="str">
        <f>HYPERLINK("https://www.google.com/maps/search/?api=1&amp;query=24.72949646,46.77480097", "View Map")</f>
        <v>View Map</v>
      </c>
    </row>
    <row r="1730" spans="1:7" x14ac:dyDescent="0.3">
      <c r="A1730" t="s">
        <v>2874</v>
      </c>
      <c r="B1730" t="s">
        <v>2875</v>
      </c>
      <c r="C1730" t="s">
        <v>9</v>
      </c>
      <c r="D1730" t="s">
        <v>1715</v>
      </c>
      <c r="E1730">
        <v>262</v>
      </c>
      <c r="F1730" t="b">
        <v>1</v>
      </c>
      <c r="G1730" t="str">
        <f>HYPERLINK("https://www.google.com/maps/search/?api=1&amp;query=24.7475353,46.80367648", "View Map")</f>
        <v>View Map</v>
      </c>
    </row>
    <row r="1731" spans="1:7" x14ac:dyDescent="0.3">
      <c r="A1731" t="s">
        <v>2876</v>
      </c>
      <c r="B1731" t="s">
        <v>2877</v>
      </c>
      <c r="C1731" t="s">
        <v>9</v>
      </c>
      <c r="D1731" t="s">
        <v>1715</v>
      </c>
      <c r="E1731">
        <v>253</v>
      </c>
      <c r="F1731" t="b">
        <v>1</v>
      </c>
      <c r="G1731" t="str">
        <f>HYPERLINK("https://www.google.com/maps/search/?api=1&amp;query=24.665809,46.71244387", "View Map")</f>
        <v>View Map</v>
      </c>
    </row>
    <row r="1732" spans="1:7" x14ac:dyDescent="0.3">
      <c r="A1732" t="s">
        <v>2878</v>
      </c>
      <c r="B1732" t="s">
        <v>2879</v>
      </c>
      <c r="C1732" t="s">
        <v>72</v>
      </c>
      <c r="D1732" t="s">
        <v>1715</v>
      </c>
      <c r="E1732">
        <v>252</v>
      </c>
      <c r="F1732" t="b">
        <v>0</v>
      </c>
      <c r="G1732" t="str">
        <f>HYPERLINK("https://www.google.com/maps/search/?api=1&amp;query=24.75799778,46.56479366", "View Map")</f>
        <v>View Map</v>
      </c>
    </row>
    <row r="1733" spans="1:7" x14ac:dyDescent="0.3">
      <c r="A1733" t="s">
        <v>2880</v>
      </c>
      <c r="B1733" t="s">
        <v>2881</v>
      </c>
      <c r="C1733" t="s">
        <v>9</v>
      </c>
      <c r="D1733" t="s">
        <v>1715</v>
      </c>
      <c r="E1733">
        <v>250</v>
      </c>
      <c r="F1733" t="b">
        <v>0</v>
      </c>
      <c r="G1733" t="str">
        <f>HYPERLINK("https://www.google.com/maps/search/?api=1&amp;query=24.78312611,46.81997389", "View Map")</f>
        <v>View Map</v>
      </c>
    </row>
    <row r="1734" spans="1:7" x14ac:dyDescent="0.3">
      <c r="A1734" t="s">
        <v>2882</v>
      </c>
      <c r="B1734" t="s">
        <v>2883</v>
      </c>
      <c r="C1734" t="s">
        <v>9</v>
      </c>
      <c r="D1734" t="s">
        <v>1715</v>
      </c>
      <c r="E1734">
        <v>246</v>
      </c>
      <c r="F1734" t="b">
        <v>1</v>
      </c>
      <c r="G1734" t="str">
        <f>HYPERLINK("https://www.google.com/maps/search/?api=1&amp;query=24.63750331,46.7302158", "View Map")</f>
        <v>View Map</v>
      </c>
    </row>
    <row r="1735" spans="1:7" x14ac:dyDescent="0.3">
      <c r="A1735" t="s">
        <v>2884</v>
      </c>
      <c r="B1735" t="s">
        <v>2885</v>
      </c>
      <c r="C1735" t="s">
        <v>9</v>
      </c>
      <c r="D1735" t="s">
        <v>1715</v>
      </c>
      <c r="E1735">
        <v>246</v>
      </c>
      <c r="F1735" t="b">
        <v>0</v>
      </c>
      <c r="G1735" t="str">
        <f>HYPERLINK("https://www.google.com/maps/search/?api=1&amp;query=24.57374243,46.59319472", "View Map")</f>
        <v>View Map</v>
      </c>
    </row>
    <row r="1736" spans="1:7" x14ac:dyDescent="0.3">
      <c r="A1736" t="s">
        <v>2886</v>
      </c>
      <c r="B1736" t="s">
        <v>2887</v>
      </c>
      <c r="C1736" t="s">
        <v>9</v>
      </c>
      <c r="D1736" t="s">
        <v>1715</v>
      </c>
      <c r="E1736">
        <v>245</v>
      </c>
      <c r="F1736" t="b">
        <v>1</v>
      </c>
      <c r="G1736" t="str">
        <f>HYPERLINK("https://www.google.com/maps/search/?api=1&amp;query=24.57570091,46.75938962", "View Map")</f>
        <v>View Map</v>
      </c>
    </row>
    <row r="1737" spans="1:7" x14ac:dyDescent="0.3">
      <c r="A1737" t="s">
        <v>2888</v>
      </c>
      <c r="B1737" t="s">
        <v>2889</v>
      </c>
      <c r="C1737" t="s">
        <v>9</v>
      </c>
      <c r="D1737" t="s">
        <v>1715</v>
      </c>
      <c r="E1737">
        <v>243</v>
      </c>
      <c r="F1737" t="b">
        <v>1</v>
      </c>
      <c r="G1737" t="str">
        <f>HYPERLINK("https://www.google.com/maps/search/?api=1&amp;query=24.67720409,46.72228396", "View Map")</f>
        <v>View Map</v>
      </c>
    </row>
    <row r="1738" spans="1:7" x14ac:dyDescent="0.3">
      <c r="A1738" t="s">
        <v>2890</v>
      </c>
      <c r="B1738" t="s">
        <v>2891</v>
      </c>
      <c r="C1738" t="s">
        <v>9</v>
      </c>
      <c r="D1738" t="s">
        <v>1715</v>
      </c>
      <c r="E1738">
        <v>239</v>
      </c>
      <c r="F1738" t="b">
        <v>1</v>
      </c>
      <c r="G1738" t="str">
        <f>HYPERLINK("https://www.google.com/maps/search/?api=1&amp;query=24.64942153,46.70695369", "View Map")</f>
        <v>View Map</v>
      </c>
    </row>
    <row r="1739" spans="1:7" x14ac:dyDescent="0.3">
      <c r="A1739" t="s">
        <v>2737</v>
      </c>
      <c r="B1739" t="s">
        <v>2892</v>
      </c>
      <c r="C1739" t="s">
        <v>9</v>
      </c>
      <c r="D1739" t="s">
        <v>1715</v>
      </c>
      <c r="E1739">
        <v>239</v>
      </c>
      <c r="F1739" t="b">
        <v>0</v>
      </c>
      <c r="G1739" t="str">
        <f>HYPERLINK("https://www.google.com/maps/search/?api=1&amp;query=24.73873252,46.82683067", "View Map")</f>
        <v>View Map</v>
      </c>
    </row>
    <row r="1740" spans="1:7" x14ac:dyDescent="0.3">
      <c r="A1740" t="s">
        <v>27</v>
      </c>
      <c r="B1740" t="s">
        <v>2893</v>
      </c>
      <c r="C1740" t="s">
        <v>9</v>
      </c>
      <c r="D1740" t="s">
        <v>1715</v>
      </c>
      <c r="E1740">
        <v>238</v>
      </c>
      <c r="F1740" t="b">
        <v>1</v>
      </c>
      <c r="G1740" t="str">
        <f>HYPERLINK("https://www.google.com/maps/search/?api=1&amp;query=24.8067,46.8792", "View Map")</f>
        <v>View Map</v>
      </c>
    </row>
    <row r="1741" spans="1:7" x14ac:dyDescent="0.3">
      <c r="A1741" t="s">
        <v>2894</v>
      </c>
      <c r="B1741" t="s">
        <v>2895</v>
      </c>
      <c r="C1741" t="s">
        <v>9</v>
      </c>
      <c r="D1741" t="s">
        <v>1715</v>
      </c>
      <c r="E1741">
        <v>237</v>
      </c>
      <c r="F1741" t="b">
        <v>1</v>
      </c>
      <c r="G1741" t="str">
        <f>HYPERLINK("https://www.google.com/maps/search/?api=1&amp;query=24.76836736,46.68432541", "View Map")</f>
        <v>View Map</v>
      </c>
    </row>
    <row r="1742" spans="1:7" x14ac:dyDescent="0.3">
      <c r="A1742" t="s">
        <v>2896</v>
      </c>
      <c r="B1742" t="s">
        <v>2897</v>
      </c>
      <c r="C1742" t="s">
        <v>9</v>
      </c>
      <c r="D1742" t="s">
        <v>1715</v>
      </c>
      <c r="E1742">
        <v>234</v>
      </c>
      <c r="F1742" t="b">
        <v>1</v>
      </c>
      <c r="G1742" t="str">
        <f>HYPERLINK("https://www.google.com/maps/search/?api=1&amp;query=24.69581022,46.64611761", "View Map")</f>
        <v>View Map</v>
      </c>
    </row>
    <row r="1743" spans="1:7" x14ac:dyDescent="0.3">
      <c r="A1743" t="s">
        <v>2898</v>
      </c>
      <c r="B1743" t="s">
        <v>2899</v>
      </c>
      <c r="C1743" t="s">
        <v>9</v>
      </c>
      <c r="D1743" t="s">
        <v>1715</v>
      </c>
      <c r="E1743">
        <v>232</v>
      </c>
      <c r="F1743" t="b">
        <v>1</v>
      </c>
      <c r="G1743" t="str">
        <f>HYPERLINK("https://www.google.com/maps/search/?api=1&amp;query=24.64139843,46.72323201", "View Map")</f>
        <v>View Map</v>
      </c>
    </row>
    <row r="1744" spans="1:7" x14ac:dyDescent="0.3">
      <c r="A1744" t="s">
        <v>2900</v>
      </c>
      <c r="B1744" t="s">
        <v>2901</v>
      </c>
      <c r="C1744" t="s">
        <v>9</v>
      </c>
      <c r="D1744" t="s">
        <v>1715</v>
      </c>
      <c r="E1744">
        <v>232</v>
      </c>
      <c r="F1744" t="b">
        <v>1</v>
      </c>
      <c r="G1744" t="str">
        <f>HYPERLINK("https://www.google.com/maps/search/?api=1&amp;query=24.68752605,46.83081952", "View Map")</f>
        <v>View Map</v>
      </c>
    </row>
    <row r="1745" spans="1:7" x14ac:dyDescent="0.3">
      <c r="A1745" t="s">
        <v>2902</v>
      </c>
      <c r="B1745" t="s">
        <v>2903</v>
      </c>
      <c r="C1745" t="s">
        <v>9</v>
      </c>
      <c r="D1745" t="s">
        <v>1715</v>
      </c>
      <c r="E1745">
        <v>232</v>
      </c>
      <c r="F1745" t="b">
        <v>1</v>
      </c>
      <c r="G1745" t="str">
        <f>HYPERLINK("https://www.google.com/maps/search/?api=1&amp;query=24.5901523,46.77267602", "View Map")</f>
        <v>View Map</v>
      </c>
    </row>
    <row r="1746" spans="1:7" x14ac:dyDescent="0.3">
      <c r="A1746" t="s">
        <v>2904</v>
      </c>
      <c r="B1746" t="s">
        <v>2905</v>
      </c>
      <c r="C1746" t="s">
        <v>9</v>
      </c>
      <c r="D1746" t="s">
        <v>1715</v>
      </c>
      <c r="E1746">
        <v>232</v>
      </c>
      <c r="F1746" t="b">
        <v>0</v>
      </c>
      <c r="G1746" t="str">
        <f>HYPERLINK("https://www.google.com/maps/search/?api=1&amp;query=24.62069505,46.76202884", "View Map")</f>
        <v>View Map</v>
      </c>
    </row>
    <row r="1747" spans="1:7" x14ac:dyDescent="0.3">
      <c r="A1747" t="s">
        <v>2906</v>
      </c>
      <c r="B1747" t="s">
        <v>2907</v>
      </c>
      <c r="C1747" t="s">
        <v>9</v>
      </c>
      <c r="D1747" t="s">
        <v>1715</v>
      </c>
      <c r="E1747">
        <v>232</v>
      </c>
      <c r="F1747" t="b">
        <v>1</v>
      </c>
      <c r="G1747" t="str">
        <f>HYPERLINK("https://www.google.com/maps/search/?api=1&amp;query=24.61821528,46.68802054", "View Map")</f>
        <v>View Map</v>
      </c>
    </row>
    <row r="1748" spans="1:7" x14ac:dyDescent="0.3">
      <c r="A1748" t="s">
        <v>2908</v>
      </c>
      <c r="B1748" t="s">
        <v>2909</v>
      </c>
      <c r="C1748" t="s">
        <v>9</v>
      </c>
      <c r="D1748" t="s">
        <v>1715</v>
      </c>
      <c r="E1748">
        <v>230</v>
      </c>
      <c r="F1748" t="b">
        <v>1</v>
      </c>
      <c r="G1748" t="str">
        <f>HYPERLINK("https://www.google.com/maps/search/?api=1&amp;query=24.65423286,46.72382132", "View Map")</f>
        <v>View Map</v>
      </c>
    </row>
    <row r="1749" spans="1:7" x14ac:dyDescent="0.3">
      <c r="A1749" t="s">
        <v>2910</v>
      </c>
      <c r="B1749" t="s">
        <v>2911</v>
      </c>
      <c r="C1749" t="s">
        <v>9</v>
      </c>
      <c r="D1749" t="s">
        <v>1715</v>
      </c>
      <c r="E1749">
        <v>228</v>
      </c>
      <c r="F1749" t="b">
        <v>1</v>
      </c>
      <c r="G1749" t="str">
        <f>HYPERLINK("https://www.google.com/maps/search/?api=1&amp;query=24.76462421,46.74507395", "View Map")</f>
        <v>View Map</v>
      </c>
    </row>
    <row r="1750" spans="1:7" x14ac:dyDescent="0.3">
      <c r="A1750" t="s">
        <v>2912</v>
      </c>
      <c r="B1750" t="s">
        <v>2913</v>
      </c>
      <c r="C1750" t="s">
        <v>9</v>
      </c>
      <c r="D1750" t="s">
        <v>1715</v>
      </c>
      <c r="E1750">
        <v>227</v>
      </c>
      <c r="F1750" t="b">
        <v>1</v>
      </c>
      <c r="G1750" t="str">
        <f>HYPERLINK("https://www.google.com/maps/search/?api=1&amp;query=24.74173517,46.65476912", "View Map")</f>
        <v>View Map</v>
      </c>
    </row>
    <row r="1751" spans="1:7" x14ac:dyDescent="0.3">
      <c r="A1751" t="s">
        <v>2914</v>
      </c>
      <c r="B1751" t="s">
        <v>2915</v>
      </c>
      <c r="C1751" t="s">
        <v>9</v>
      </c>
      <c r="D1751" t="s">
        <v>1715</v>
      </c>
      <c r="E1751">
        <v>225</v>
      </c>
      <c r="F1751" t="b">
        <v>1</v>
      </c>
      <c r="G1751" t="str">
        <f>HYPERLINK("https://www.google.com/maps/search/?api=1&amp;query=24.78884288,46.68571218", "View Map")</f>
        <v>View Map</v>
      </c>
    </row>
    <row r="1752" spans="1:7" x14ac:dyDescent="0.3">
      <c r="A1752" t="s">
        <v>27</v>
      </c>
      <c r="B1752" t="s">
        <v>2916</v>
      </c>
      <c r="C1752" t="s">
        <v>9</v>
      </c>
      <c r="D1752" t="s">
        <v>1715</v>
      </c>
      <c r="E1752">
        <v>224</v>
      </c>
      <c r="F1752" t="b">
        <v>1</v>
      </c>
      <c r="G1752" t="str">
        <f>HYPERLINK("https://www.google.com/maps/search/?api=1&amp;query=24.92525789,46.82341566", "View Map")</f>
        <v>View Map</v>
      </c>
    </row>
    <row r="1753" spans="1:7" x14ac:dyDescent="0.3">
      <c r="A1753" t="s">
        <v>859</v>
      </c>
      <c r="B1753" t="s">
        <v>2917</v>
      </c>
      <c r="C1753" t="s">
        <v>9</v>
      </c>
      <c r="D1753" t="s">
        <v>1715</v>
      </c>
      <c r="E1753">
        <v>223</v>
      </c>
      <c r="F1753" t="b">
        <v>1</v>
      </c>
      <c r="G1753" t="str">
        <f>HYPERLINK("https://www.google.com/maps/search/?api=1&amp;query=24.58888388,46.68225593", "View Map")</f>
        <v>View Map</v>
      </c>
    </row>
    <row r="1754" spans="1:7" x14ac:dyDescent="0.3">
      <c r="A1754" t="s">
        <v>2918</v>
      </c>
      <c r="B1754" t="s">
        <v>2919</v>
      </c>
      <c r="C1754" t="s">
        <v>9</v>
      </c>
      <c r="D1754" t="s">
        <v>1715</v>
      </c>
      <c r="E1754">
        <v>223</v>
      </c>
      <c r="F1754" t="b">
        <v>1</v>
      </c>
      <c r="G1754" t="str">
        <f>HYPERLINK("https://www.google.com/maps/search/?api=1&amp;query=24.79302535,46.88215924", "View Map")</f>
        <v>View Map</v>
      </c>
    </row>
    <row r="1755" spans="1:7" x14ac:dyDescent="0.3">
      <c r="A1755" t="s">
        <v>1420</v>
      </c>
      <c r="B1755" t="s">
        <v>2920</v>
      </c>
      <c r="C1755" t="s">
        <v>9</v>
      </c>
      <c r="D1755" t="s">
        <v>1715</v>
      </c>
      <c r="E1755">
        <v>221</v>
      </c>
      <c r="F1755" t="b">
        <v>0</v>
      </c>
      <c r="G1755" t="str">
        <f>HYPERLINK("https://www.google.com/maps/search/?api=1&amp;query=24.8242,46.7614", "View Map")</f>
        <v>View Map</v>
      </c>
    </row>
    <row r="1756" spans="1:7" x14ac:dyDescent="0.3">
      <c r="A1756" t="s">
        <v>2921</v>
      </c>
      <c r="B1756" t="s">
        <v>2922</v>
      </c>
      <c r="C1756" t="s">
        <v>9</v>
      </c>
      <c r="D1756" t="s">
        <v>1715</v>
      </c>
      <c r="E1756">
        <v>220</v>
      </c>
      <c r="F1756" t="b">
        <v>0</v>
      </c>
      <c r="G1756" t="str">
        <f>HYPERLINK("https://www.google.com/maps/search/?api=1&amp;query=24.70471191,46.63058775", "View Map")</f>
        <v>View Map</v>
      </c>
    </row>
    <row r="1757" spans="1:7" x14ac:dyDescent="0.3">
      <c r="A1757" t="s">
        <v>2923</v>
      </c>
      <c r="B1757" t="s">
        <v>2924</v>
      </c>
      <c r="C1757" t="s">
        <v>9</v>
      </c>
      <c r="D1757" t="s">
        <v>1715</v>
      </c>
      <c r="E1757">
        <v>219</v>
      </c>
      <c r="F1757" t="b">
        <v>1</v>
      </c>
      <c r="G1757" t="str">
        <f>HYPERLINK("https://www.google.com/maps/search/?api=1&amp;query=24.79630775,46.7139173", "View Map")</f>
        <v>View Map</v>
      </c>
    </row>
    <row r="1758" spans="1:7" x14ac:dyDescent="0.3">
      <c r="A1758" t="s">
        <v>2925</v>
      </c>
      <c r="B1758" t="s">
        <v>2926</v>
      </c>
      <c r="C1758" t="s">
        <v>9</v>
      </c>
      <c r="D1758" t="s">
        <v>1715</v>
      </c>
      <c r="E1758">
        <v>219</v>
      </c>
      <c r="F1758" t="b">
        <v>1</v>
      </c>
      <c r="G1758" t="str">
        <f>HYPERLINK("https://www.google.com/maps/search/?api=1&amp;query=24.83112837,46.6431487", "View Map")</f>
        <v>View Map</v>
      </c>
    </row>
    <row r="1759" spans="1:7" x14ac:dyDescent="0.3">
      <c r="A1759" t="s">
        <v>2927</v>
      </c>
      <c r="B1759" t="s">
        <v>2928</v>
      </c>
      <c r="C1759" t="s">
        <v>9</v>
      </c>
      <c r="D1759" t="s">
        <v>1715</v>
      </c>
      <c r="E1759">
        <v>218</v>
      </c>
      <c r="F1759" t="b">
        <v>1</v>
      </c>
      <c r="G1759" t="str">
        <f>HYPERLINK("https://www.google.com/maps/search/?api=1&amp;query=24.66920219,46.86510731", "View Map")</f>
        <v>View Map</v>
      </c>
    </row>
    <row r="1760" spans="1:7" x14ac:dyDescent="0.3">
      <c r="A1760" t="s">
        <v>2929</v>
      </c>
      <c r="B1760" t="s">
        <v>2930</v>
      </c>
      <c r="C1760" t="s">
        <v>9</v>
      </c>
      <c r="D1760" t="s">
        <v>1715</v>
      </c>
      <c r="E1760">
        <v>218</v>
      </c>
      <c r="F1760" t="b">
        <v>0</v>
      </c>
      <c r="G1760" t="str">
        <f>HYPERLINK("https://www.google.com/maps/search/?api=1&amp;query=24.75857819,46.75001691", "View Map")</f>
        <v>View Map</v>
      </c>
    </row>
    <row r="1761" spans="1:7" x14ac:dyDescent="0.3">
      <c r="A1761" t="s">
        <v>2931</v>
      </c>
      <c r="B1761" t="s">
        <v>2932</v>
      </c>
      <c r="C1761" t="s">
        <v>9</v>
      </c>
      <c r="D1761" t="s">
        <v>1715</v>
      </c>
      <c r="E1761">
        <v>216</v>
      </c>
      <c r="F1761" t="b">
        <v>0</v>
      </c>
      <c r="G1761" t="str">
        <f>HYPERLINK("https://www.google.com/maps/search/?api=1&amp;query=24.84327773,46.76685246", "View Map")</f>
        <v>View Map</v>
      </c>
    </row>
    <row r="1762" spans="1:7" x14ac:dyDescent="0.3">
      <c r="A1762" t="s">
        <v>2933</v>
      </c>
      <c r="B1762" t="s">
        <v>2934</v>
      </c>
      <c r="C1762" t="s">
        <v>9</v>
      </c>
      <c r="D1762" t="s">
        <v>1715</v>
      </c>
      <c r="E1762">
        <v>215</v>
      </c>
      <c r="F1762" t="b">
        <v>1</v>
      </c>
      <c r="G1762" t="str">
        <f>HYPERLINK("https://www.google.com/maps/search/?api=1&amp;query=24.78738884,46.62578337", "View Map")</f>
        <v>View Map</v>
      </c>
    </row>
    <row r="1763" spans="1:7" x14ac:dyDescent="0.3">
      <c r="A1763" t="s">
        <v>2935</v>
      </c>
      <c r="B1763" t="s">
        <v>2936</v>
      </c>
      <c r="C1763" t="s">
        <v>9</v>
      </c>
      <c r="D1763" t="s">
        <v>1715</v>
      </c>
      <c r="E1763">
        <v>213</v>
      </c>
      <c r="F1763" t="b">
        <v>1</v>
      </c>
      <c r="G1763" t="str">
        <f>HYPERLINK("https://www.google.com/maps/search/?api=1&amp;query=24.62071313,46.76037453", "View Map")</f>
        <v>View Map</v>
      </c>
    </row>
    <row r="1764" spans="1:7" x14ac:dyDescent="0.3">
      <c r="A1764" t="s">
        <v>2937</v>
      </c>
      <c r="B1764" t="s">
        <v>2938</v>
      </c>
      <c r="C1764" t="s">
        <v>9</v>
      </c>
      <c r="D1764" t="s">
        <v>1715</v>
      </c>
      <c r="E1764">
        <v>212</v>
      </c>
      <c r="F1764" t="b">
        <v>1</v>
      </c>
      <c r="G1764" t="str">
        <f>HYPERLINK("https://www.google.com/maps/search/?api=1&amp;query=24.65642147,46.74074333", "View Map")</f>
        <v>View Map</v>
      </c>
    </row>
    <row r="1765" spans="1:7" x14ac:dyDescent="0.3">
      <c r="A1765" t="s">
        <v>2939</v>
      </c>
      <c r="B1765" t="s">
        <v>2940</v>
      </c>
      <c r="C1765" t="s">
        <v>9</v>
      </c>
      <c r="D1765" t="s">
        <v>1715</v>
      </c>
      <c r="E1765">
        <v>212</v>
      </c>
      <c r="F1765" t="b">
        <v>1</v>
      </c>
      <c r="G1765" t="str">
        <f>HYPERLINK("https://www.google.com/maps/search/?api=1&amp;query=24.71750582,46.66675272", "View Map")</f>
        <v>View Map</v>
      </c>
    </row>
    <row r="1766" spans="1:7" x14ac:dyDescent="0.3">
      <c r="A1766" t="s">
        <v>2941</v>
      </c>
      <c r="B1766" t="s">
        <v>2942</v>
      </c>
      <c r="C1766" t="s">
        <v>9</v>
      </c>
      <c r="D1766" t="s">
        <v>1715</v>
      </c>
      <c r="E1766">
        <v>212</v>
      </c>
      <c r="F1766" t="b">
        <v>1</v>
      </c>
      <c r="G1766" t="str">
        <f>HYPERLINK("https://www.google.com/maps/search/?api=1&amp;query=24.73947482,46.67952217", "View Map")</f>
        <v>View Map</v>
      </c>
    </row>
    <row r="1767" spans="1:7" x14ac:dyDescent="0.3">
      <c r="A1767" t="s">
        <v>2943</v>
      </c>
      <c r="B1767" t="s">
        <v>2944</v>
      </c>
      <c r="C1767" t="s">
        <v>9</v>
      </c>
      <c r="D1767" t="s">
        <v>1715</v>
      </c>
      <c r="E1767">
        <v>212</v>
      </c>
      <c r="F1767" t="b">
        <v>1</v>
      </c>
      <c r="G1767" t="str">
        <f>HYPERLINK("https://www.google.com/maps/search/?api=1&amp;query=24.63558934,46.68807658", "View Map")</f>
        <v>View Map</v>
      </c>
    </row>
    <row r="1768" spans="1:7" x14ac:dyDescent="0.3">
      <c r="A1768" t="s">
        <v>27</v>
      </c>
      <c r="B1768" t="s">
        <v>2945</v>
      </c>
      <c r="C1768" t="s">
        <v>9</v>
      </c>
      <c r="D1768" t="s">
        <v>1715</v>
      </c>
      <c r="E1768">
        <v>212</v>
      </c>
      <c r="F1768" t="b">
        <v>1</v>
      </c>
      <c r="G1768" t="str">
        <f>HYPERLINK("https://www.google.com/maps/search/?api=1&amp;query=24.76839986,46.83408547", "View Map")</f>
        <v>View Map</v>
      </c>
    </row>
    <row r="1769" spans="1:7" x14ac:dyDescent="0.3">
      <c r="A1769" t="s">
        <v>2946</v>
      </c>
      <c r="B1769" t="s">
        <v>2947</v>
      </c>
      <c r="C1769" t="s">
        <v>9</v>
      </c>
      <c r="D1769" t="s">
        <v>1715</v>
      </c>
      <c r="E1769">
        <v>212</v>
      </c>
      <c r="F1769" t="b">
        <v>1</v>
      </c>
      <c r="G1769" t="str">
        <f>HYPERLINK("https://www.google.com/maps/search/?api=1&amp;query=24.73037392,46.68446288", "View Map")</f>
        <v>View Map</v>
      </c>
    </row>
    <row r="1770" spans="1:7" x14ac:dyDescent="0.3">
      <c r="A1770" t="s">
        <v>2948</v>
      </c>
      <c r="B1770" t="s">
        <v>2949</v>
      </c>
      <c r="C1770" t="s">
        <v>9</v>
      </c>
      <c r="D1770" t="s">
        <v>1715</v>
      </c>
      <c r="E1770">
        <v>211</v>
      </c>
      <c r="F1770" t="b">
        <v>1</v>
      </c>
      <c r="G1770" t="str">
        <f>HYPERLINK("https://www.google.com/maps/search/?api=1&amp;query=24.6729878,46.75500375", "View Map")</f>
        <v>View Map</v>
      </c>
    </row>
    <row r="1771" spans="1:7" x14ac:dyDescent="0.3">
      <c r="A1771" t="s">
        <v>2950</v>
      </c>
      <c r="B1771" t="s">
        <v>2951</v>
      </c>
      <c r="C1771" t="s">
        <v>9</v>
      </c>
      <c r="D1771" t="s">
        <v>1715</v>
      </c>
      <c r="E1771">
        <v>211</v>
      </c>
      <c r="F1771" t="b">
        <v>1</v>
      </c>
      <c r="G1771" t="str">
        <f>HYPERLINK("https://www.google.com/maps/search/?api=1&amp;query=24.7644474,46.67268185", "View Map")</f>
        <v>View Map</v>
      </c>
    </row>
    <row r="1772" spans="1:7" x14ac:dyDescent="0.3">
      <c r="A1772" t="s">
        <v>2952</v>
      </c>
      <c r="B1772" t="s">
        <v>2953</v>
      </c>
      <c r="C1772" t="s">
        <v>9</v>
      </c>
      <c r="D1772" t="s">
        <v>1715</v>
      </c>
      <c r="E1772">
        <v>211</v>
      </c>
      <c r="F1772" t="b">
        <v>1</v>
      </c>
      <c r="G1772" t="str">
        <f>HYPERLINK("https://www.google.com/maps/search/?api=1&amp;query=24.65445903,46.73400105", "View Map")</f>
        <v>View Map</v>
      </c>
    </row>
    <row r="1773" spans="1:7" x14ac:dyDescent="0.3">
      <c r="A1773" t="s">
        <v>2954</v>
      </c>
      <c r="B1773" t="s">
        <v>2955</v>
      </c>
      <c r="C1773" t="s">
        <v>9</v>
      </c>
      <c r="D1773" t="s">
        <v>1715</v>
      </c>
      <c r="E1773">
        <v>211</v>
      </c>
      <c r="F1773" t="b">
        <v>1</v>
      </c>
      <c r="G1773" t="str">
        <f>HYPERLINK("https://www.google.com/maps/search/?api=1&amp;query=24.614585,46.74055496", "View Map")</f>
        <v>View Map</v>
      </c>
    </row>
    <row r="1774" spans="1:7" x14ac:dyDescent="0.3">
      <c r="A1774" t="s">
        <v>2956</v>
      </c>
      <c r="B1774" t="s">
        <v>2957</v>
      </c>
      <c r="C1774" t="s">
        <v>72</v>
      </c>
      <c r="D1774" t="s">
        <v>1715</v>
      </c>
      <c r="E1774">
        <v>210</v>
      </c>
      <c r="F1774" t="b">
        <v>0</v>
      </c>
      <c r="G1774" t="str">
        <f>HYPERLINK("https://www.google.com/maps/search/?api=1&amp;query=24.74395846,46.58412672", "View Map")</f>
        <v>View Map</v>
      </c>
    </row>
    <row r="1775" spans="1:7" x14ac:dyDescent="0.3">
      <c r="A1775" t="s">
        <v>194</v>
      </c>
      <c r="B1775" t="s">
        <v>2958</v>
      </c>
      <c r="C1775" t="s">
        <v>9</v>
      </c>
      <c r="D1775" t="s">
        <v>1715</v>
      </c>
      <c r="E1775">
        <v>209</v>
      </c>
      <c r="F1775" t="b">
        <v>1</v>
      </c>
      <c r="G1775" t="str">
        <f>HYPERLINK("https://www.google.com/maps/search/?api=1&amp;query=24.83158964,46.76052856", "View Map")</f>
        <v>View Map</v>
      </c>
    </row>
    <row r="1776" spans="1:7" x14ac:dyDescent="0.3">
      <c r="A1776" t="s">
        <v>19</v>
      </c>
      <c r="B1776" t="s">
        <v>2959</v>
      </c>
      <c r="C1776" t="s">
        <v>9</v>
      </c>
      <c r="D1776" t="s">
        <v>1715</v>
      </c>
      <c r="E1776">
        <v>208</v>
      </c>
      <c r="F1776" t="b">
        <v>1</v>
      </c>
      <c r="G1776" t="str">
        <f>HYPERLINK("https://www.google.com/maps/search/?api=1&amp;query=24.79565301,46.60994772", "View Map")</f>
        <v>View Map</v>
      </c>
    </row>
    <row r="1777" spans="1:7" x14ac:dyDescent="0.3">
      <c r="A1777" t="s">
        <v>2960</v>
      </c>
      <c r="B1777" t="s">
        <v>2961</v>
      </c>
      <c r="C1777" t="s">
        <v>9</v>
      </c>
      <c r="D1777" t="s">
        <v>1715</v>
      </c>
      <c r="E1777">
        <v>207</v>
      </c>
      <c r="F1777" t="b">
        <v>1</v>
      </c>
      <c r="G1777" t="str">
        <f>HYPERLINK("https://www.google.com/maps/search/?api=1&amp;query=24.75972717,46.61051843", "View Map")</f>
        <v>View Map</v>
      </c>
    </row>
    <row r="1778" spans="1:7" x14ac:dyDescent="0.3">
      <c r="A1778" t="s">
        <v>2962</v>
      </c>
      <c r="B1778" t="s">
        <v>2963</v>
      </c>
      <c r="C1778" t="s">
        <v>9</v>
      </c>
      <c r="D1778" t="s">
        <v>1715</v>
      </c>
      <c r="E1778">
        <v>207</v>
      </c>
      <c r="F1778" t="b">
        <v>1</v>
      </c>
      <c r="G1778" t="str">
        <f>HYPERLINK("https://www.google.com/maps/search/?api=1&amp;query=24.73463634,46.77801906", "View Map")</f>
        <v>View Map</v>
      </c>
    </row>
    <row r="1779" spans="1:7" x14ac:dyDescent="0.3">
      <c r="A1779" t="s">
        <v>27</v>
      </c>
      <c r="B1779" t="s">
        <v>2964</v>
      </c>
      <c r="C1779" t="s">
        <v>9</v>
      </c>
      <c r="D1779" t="s">
        <v>1715</v>
      </c>
      <c r="E1779">
        <v>206</v>
      </c>
      <c r="F1779" t="b">
        <v>0</v>
      </c>
      <c r="G1779" t="str">
        <f>HYPERLINK("https://www.google.com/maps/search/?api=1&amp;query=24.85169586,46.79771996", "View Map")</f>
        <v>View Map</v>
      </c>
    </row>
    <row r="1780" spans="1:7" x14ac:dyDescent="0.3">
      <c r="A1780" t="s">
        <v>19</v>
      </c>
      <c r="B1780" t="s">
        <v>2965</v>
      </c>
      <c r="C1780" t="s">
        <v>72</v>
      </c>
      <c r="D1780" t="s">
        <v>1715</v>
      </c>
      <c r="E1780">
        <v>206</v>
      </c>
      <c r="F1780" t="b">
        <v>1</v>
      </c>
      <c r="G1780" t="str">
        <f>HYPERLINK("https://www.google.com/maps/search/?api=1&amp;query=24.89494171,46.44201942", "View Map")</f>
        <v>View Map</v>
      </c>
    </row>
    <row r="1781" spans="1:7" x14ac:dyDescent="0.3">
      <c r="A1781" t="s">
        <v>27</v>
      </c>
      <c r="B1781" t="s">
        <v>2966</v>
      </c>
      <c r="C1781" t="s">
        <v>9</v>
      </c>
      <c r="D1781" t="s">
        <v>1715</v>
      </c>
      <c r="E1781">
        <v>204</v>
      </c>
      <c r="F1781" t="b">
        <v>0</v>
      </c>
      <c r="G1781" t="str">
        <f>HYPERLINK("https://www.google.com/maps/search/?api=1&amp;query=24.85540782,46.66992266", "View Map")</f>
        <v>View Map</v>
      </c>
    </row>
    <row r="1782" spans="1:7" x14ac:dyDescent="0.3">
      <c r="A1782" t="s">
        <v>2967</v>
      </c>
      <c r="B1782" t="s">
        <v>2968</v>
      </c>
      <c r="C1782" t="s">
        <v>72</v>
      </c>
      <c r="D1782" t="s">
        <v>1715</v>
      </c>
      <c r="E1782">
        <v>203</v>
      </c>
      <c r="F1782" t="b">
        <v>0</v>
      </c>
      <c r="G1782" t="str">
        <f>HYPERLINK("https://www.google.com/maps/search/?api=1&amp;query=24.75448262,46.56772563", "View Map")</f>
        <v>View Map</v>
      </c>
    </row>
    <row r="1783" spans="1:7" x14ac:dyDescent="0.3">
      <c r="A1783" t="s">
        <v>2969</v>
      </c>
      <c r="B1783" t="s">
        <v>2970</v>
      </c>
      <c r="C1783" t="s">
        <v>9</v>
      </c>
      <c r="D1783" t="s">
        <v>1715</v>
      </c>
      <c r="E1783">
        <v>202</v>
      </c>
      <c r="F1783" t="b">
        <v>0</v>
      </c>
      <c r="G1783" t="str">
        <f>HYPERLINK("https://www.google.com/maps/search/?api=1&amp;query=24.62227729,46.56980949", "View Map")</f>
        <v>View Map</v>
      </c>
    </row>
    <row r="1784" spans="1:7" x14ac:dyDescent="0.3">
      <c r="A1784" t="s">
        <v>2971</v>
      </c>
      <c r="B1784" t="s">
        <v>2972</v>
      </c>
      <c r="C1784" t="s">
        <v>9</v>
      </c>
      <c r="D1784" t="s">
        <v>1715</v>
      </c>
      <c r="E1784">
        <v>201</v>
      </c>
      <c r="F1784" t="b">
        <v>0</v>
      </c>
      <c r="G1784" t="str">
        <f>HYPERLINK("https://www.google.com/maps/search/?api=1&amp;query=24.778807,46.806766", "View Map")</f>
        <v>View Map</v>
      </c>
    </row>
    <row r="1785" spans="1:7" x14ac:dyDescent="0.3">
      <c r="A1785" t="s">
        <v>159</v>
      </c>
      <c r="B1785" t="s">
        <v>2973</v>
      </c>
      <c r="C1785" t="s">
        <v>9</v>
      </c>
      <c r="D1785" t="s">
        <v>1715</v>
      </c>
      <c r="E1785">
        <v>200</v>
      </c>
      <c r="F1785" t="b">
        <v>1</v>
      </c>
      <c r="G1785" t="str">
        <f>HYPERLINK("https://www.google.com/maps/search/?api=1&amp;query=24.64706997,46.69197153", "View Map")</f>
        <v>View Map</v>
      </c>
    </row>
    <row r="1786" spans="1:7" x14ac:dyDescent="0.3">
      <c r="A1786" t="s">
        <v>2974</v>
      </c>
      <c r="B1786" t="s">
        <v>2975</v>
      </c>
      <c r="C1786" t="s">
        <v>9</v>
      </c>
      <c r="D1786" t="s">
        <v>1715</v>
      </c>
      <c r="E1786">
        <v>200</v>
      </c>
      <c r="F1786" t="b">
        <v>1</v>
      </c>
      <c r="G1786" t="str">
        <f>HYPERLINK("https://www.google.com/maps/search/?api=1&amp;query=24.69238149,46.78632073", "View Map")</f>
        <v>View Map</v>
      </c>
    </row>
    <row r="1787" spans="1:7" x14ac:dyDescent="0.3">
      <c r="A1787" t="s">
        <v>459</v>
      </c>
      <c r="B1787" t="s">
        <v>2976</v>
      </c>
      <c r="C1787" t="s">
        <v>9</v>
      </c>
      <c r="D1787" t="s">
        <v>1715</v>
      </c>
      <c r="E1787">
        <v>199</v>
      </c>
      <c r="F1787" t="b">
        <v>0</v>
      </c>
      <c r="G1787" t="str">
        <f>HYPERLINK("https://www.google.com/maps/search/?api=1&amp;query=24.73938537,46.66705395", "View Map")</f>
        <v>View Map</v>
      </c>
    </row>
    <row r="1788" spans="1:7" x14ac:dyDescent="0.3">
      <c r="A1788" t="s">
        <v>2977</v>
      </c>
      <c r="B1788" t="s">
        <v>2978</v>
      </c>
      <c r="C1788" t="s">
        <v>9</v>
      </c>
      <c r="D1788" t="s">
        <v>1715</v>
      </c>
      <c r="E1788">
        <v>199</v>
      </c>
      <c r="F1788" t="b">
        <v>1</v>
      </c>
      <c r="G1788" t="str">
        <f>HYPERLINK("https://www.google.com/maps/search/?api=1&amp;query=24.56381494,46.70718724", "View Map")</f>
        <v>View Map</v>
      </c>
    </row>
    <row r="1789" spans="1:7" x14ac:dyDescent="0.3">
      <c r="A1789" t="s">
        <v>2979</v>
      </c>
      <c r="B1789" t="s">
        <v>2980</v>
      </c>
      <c r="C1789" t="s">
        <v>9</v>
      </c>
      <c r="D1789" t="s">
        <v>1715</v>
      </c>
      <c r="E1789">
        <v>199</v>
      </c>
      <c r="F1789" t="b">
        <v>1</v>
      </c>
      <c r="G1789" t="str">
        <f>HYPERLINK("https://www.google.com/maps/search/?api=1&amp;query=24.75665385,46.75256631", "View Map")</f>
        <v>View Map</v>
      </c>
    </row>
    <row r="1790" spans="1:7" x14ac:dyDescent="0.3">
      <c r="A1790" t="s">
        <v>2981</v>
      </c>
      <c r="B1790" t="s">
        <v>2982</v>
      </c>
      <c r="C1790" t="s">
        <v>9</v>
      </c>
      <c r="D1790" t="s">
        <v>1715</v>
      </c>
      <c r="E1790">
        <v>197</v>
      </c>
      <c r="F1790" t="b">
        <v>1</v>
      </c>
      <c r="G1790" t="str">
        <f>HYPERLINK("https://www.google.com/maps/search/?api=1&amp;query=24.61747763,46.68053083", "View Map")</f>
        <v>View Map</v>
      </c>
    </row>
    <row r="1791" spans="1:7" x14ac:dyDescent="0.3">
      <c r="A1791" t="s">
        <v>2983</v>
      </c>
      <c r="B1791" t="s">
        <v>2984</v>
      </c>
      <c r="C1791" t="s">
        <v>9</v>
      </c>
      <c r="D1791" t="s">
        <v>1715</v>
      </c>
      <c r="E1791">
        <v>197</v>
      </c>
      <c r="F1791" t="b">
        <v>1</v>
      </c>
      <c r="G1791" t="str">
        <f>HYPERLINK("https://www.google.com/maps/search/?api=1&amp;query=24.74161406,46.77668002", "View Map")</f>
        <v>View Map</v>
      </c>
    </row>
    <row r="1792" spans="1:7" x14ac:dyDescent="0.3">
      <c r="A1792" t="s">
        <v>27</v>
      </c>
      <c r="B1792" t="s">
        <v>2985</v>
      </c>
      <c r="C1792" t="s">
        <v>9</v>
      </c>
      <c r="D1792" t="s">
        <v>1715</v>
      </c>
      <c r="E1792">
        <v>196</v>
      </c>
      <c r="F1792" t="b">
        <v>0</v>
      </c>
      <c r="G1792" t="str">
        <f>HYPERLINK("https://www.google.com/maps/search/?api=1&amp;query=24.61704107,46.72934435", "View Map")</f>
        <v>View Map</v>
      </c>
    </row>
    <row r="1793" spans="1:7" x14ac:dyDescent="0.3">
      <c r="A1793" t="s">
        <v>159</v>
      </c>
      <c r="B1793" t="s">
        <v>2986</v>
      </c>
      <c r="C1793" t="s">
        <v>9</v>
      </c>
      <c r="D1793" t="s">
        <v>1715</v>
      </c>
      <c r="E1793">
        <v>195</v>
      </c>
      <c r="F1793" t="b">
        <v>0</v>
      </c>
      <c r="G1793" t="str">
        <f>HYPERLINK("https://www.google.com/maps/search/?api=1&amp;query=24.54381215,46.65745286", "View Map")</f>
        <v>View Map</v>
      </c>
    </row>
    <row r="1794" spans="1:7" x14ac:dyDescent="0.3">
      <c r="A1794" t="s">
        <v>2987</v>
      </c>
      <c r="B1794" t="s">
        <v>2988</v>
      </c>
      <c r="C1794" t="s">
        <v>9</v>
      </c>
      <c r="D1794" t="s">
        <v>1715</v>
      </c>
      <c r="E1794">
        <v>195</v>
      </c>
      <c r="F1794" t="b">
        <v>1</v>
      </c>
      <c r="G1794" t="str">
        <f>HYPERLINK("https://www.google.com/maps/search/?api=1&amp;query=24.70086,46.66201", "View Map")</f>
        <v>View Map</v>
      </c>
    </row>
    <row r="1795" spans="1:7" x14ac:dyDescent="0.3">
      <c r="A1795" t="s">
        <v>2989</v>
      </c>
      <c r="B1795" t="s">
        <v>2990</v>
      </c>
      <c r="C1795" t="s">
        <v>9</v>
      </c>
      <c r="D1795" t="s">
        <v>1715</v>
      </c>
      <c r="E1795">
        <v>195</v>
      </c>
      <c r="F1795" t="b">
        <v>0</v>
      </c>
      <c r="G1795" t="str">
        <f>HYPERLINK("https://www.google.com/maps/search/?api=1&amp;query=24.80983245,46.88281636", "View Map")</f>
        <v>View Map</v>
      </c>
    </row>
    <row r="1796" spans="1:7" x14ac:dyDescent="0.3">
      <c r="A1796" t="s">
        <v>194</v>
      </c>
      <c r="B1796" t="s">
        <v>2991</v>
      </c>
      <c r="C1796" t="s">
        <v>9</v>
      </c>
      <c r="D1796" t="s">
        <v>1715</v>
      </c>
      <c r="E1796">
        <v>195</v>
      </c>
      <c r="F1796" t="b">
        <v>1</v>
      </c>
      <c r="G1796" t="str">
        <f>HYPERLINK("https://www.google.com/maps/search/?api=1&amp;query=24.81463592,46.9093383", "View Map")</f>
        <v>View Map</v>
      </c>
    </row>
    <row r="1797" spans="1:7" x14ac:dyDescent="0.3">
      <c r="A1797" t="s">
        <v>348</v>
      </c>
      <c r="B1797" t="s">
        <v>2992</v>
      </c>
      <c r="C1797" t="s">
        <v>9</v>
      </c>
      <c r="D1797" t="s">
        <v>1715</v>
      </c>
      <c r="E1797">
        <v>193</v>
      </c>
      <c r="F1797" t="b">
        <v>1</v>
      </c>
      <c r="G1797" t="str">
        <f>HYPERLINK("https://www.google.com/maps/search/?api=1&amp;query=24.61213759,46.74080914", "View Map")</f>
        <v>View Map</v>
      </c>
    </row>
    <row r="1798" spans="1:7" x14ac:dyDescent="0.3">
      <c r="A1798" t="s">
        <v>2993</v>
      </c>
      <c r="B1798" t="s">
        <v>2994</v>
      </c>
      <c r="C1798" t="s">
        <v>9</v>
      </c>
      <c r="D1798" t="s">
        <v>1715</v>
      </c>
      <c r="E1798">
        <v>193</v>
      </c>
      <c r="F1798" t="b">
        <v>1</v>
      </c>
      <c r="G1798" t="str">
        <f>HYPERLINK("https://www.google.com/maps/search/?api=1&amp;query=24.5711092,46.8365653", "View Map")</f>
        <v>View Map</v>
      </c>
    </row>
    <row r="1799" spans="1:7" x14ac:dyDescent="0.3">
      <c r="A1799" t="s">
        <v>27</v>
      </c>
      <c r="B1799" t="s">
        <v>2995</v>
      </c>
      <c r="C1799" t="s">
        <v>9</v>
      </c>
      <c r="D1799" t="s">
        <v>1715</v>
      </c>
      <c r="E1799">
        <v>193</v>
      </c>
      <c r="F1799" t="b">
        <v>1</v>
      </c>
      <c r="G1799" t="str">
        <f>HYPERLINK("https://www.google.com/maps/search/?api=1&amp;query=24.82910127,46.63398993", "View Map")</f>
        <v>View Map</v>
      </c>
    </row>
    <row r="1800" spans="1:7" x14ac:dyDescent="0.3">
      <c r="A1800" t="s">
        <v>27</v>
      </c>
      <c r="B1800" t="s">
        <v>2996</v>
      </c>
      <c r="C1800" t="s">
        <v>9</v>
      </c>
      <c r="D1800" t="s">
        <v>1715</v>
      </c>
      <c r="E1800">
        <v>186</v>
      </c>
      <c r="F1800" t="b">
        <v>0</v>
      </c>
      <c r="G1800" t="str">
        <f>HYPERLINK("https://www.google.com/maps/search/?api=1&amp;query=24.9089,46.6089",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topLeftCell="A133" workbookViewId="0">
      <selection activeCell="C18" sqref="C18"/>
    </sheetView>
  </sheetViews>
  <sheetFormatPr defaultRowHeight="14.4" x14ac:dyDescent="0.3"/>
  <cols>
    <col min="1" max="1" width="42" customWidth="1"/>
    <col min="2" max="2" width="18" customWidth="1"/>
    <col min="3" max="3" width="15" customWidth="1"/>
    <col min="4" max="4" width="20" customWidth="1"/>
    <col min="5" max="5" width="24" customWidth="1"/>
    <col min="6" max="6" width="13" customWidth="1"/>
    <col min="7" max="7" width="16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2997</v>
      </c>
      <c r="B2" t="s">
        <v>2998</v>
      </c>
      <c r="C2" t="s">
        <v>2999</v>
      </c>
      <c r="D2" t="s">
        <v>10</v>
      </c>
      <c r="E2">
        <v>6891</v>
      </c>
      <c r="F2" t="b">
        <v>1</v>
      </c>
      <c r="G2" t="str">
        <f>HYPERLINK("https://www.google.com/maps/search/?api=1&amp;query=24.15200302,47.30254745", "View Map")</f>
        <v>View Map</v>
      </c>
    </row>
    <row r="3" spans="1:7" x14ac:dyDescent="0.3">
      <c r="A3" t="s">
        <v>3000</v>
      </c>
      <c r="B3" t="s">
        <v>3001</v>
      </c>
      <c r="C3" t="s">
        <v>3002</v>
      </c>
      <c r="D3" t="s">
        <v>10</v>
      </c>
      <c r="E3">
        <v>5079</v>
      </c>
      <c r="F3" t="b">
        <v>1</v>
      </c>
      <c r="G3" t="str">
        <f>HYPERLINK("https://www.google.com/maps/search/?api=1&amp;query=20.47210421,44.78443717", "View Map")</f>
        <v>View Map</v>
      </c>
    </row>
    <row r="4" spans="1:7" x14ac:dyDescent="0.3">
      <c r="A4" t="s">
        <v>3003</v>
      </c>
      <c r="B4" t="s">
        <v>3004</v>
      </c>
      <c r="C4" t="s">
        <v>2999</v>
      </c>
      <c r="D4" t="s">
        <v>10</v>
      </c>
      <c r="E4">
        <v>4376</v>
      </c>
      <c r="F4" t="b">
        <v>1</v>
      </c>
      <c r="G4" t="str">
        <f>HYPERLINK("https://www.google.com/maps/search/?api=1&amp;query=24.33593315,47.50011255", "View Map")</f>
        <v>View Map</v>
      </c>
    </row>
    <row r="5" spans="1:7" x14ac:dyDescent="0.3">
      <c r="A5" t="s">
        <v>3005</v>
      </c>
      <c r="B5" t="s">
        <v>3006</v>
      </c>
      <c r="C5" t="s">
        <v>3007</v>
      </c>
      <c r="D5" t="s">
        <v>10</v>
      </c>
      <c r="E5">
        <v>4303</v>
      </c>
      <c r="F5" t="b">
        <v>1</v>
      </c>
      <c r="G5" t="str">
        <f>HYPERLINK("https://www.google.com/maps/search/?api=1&amp;query=22.28821198,46.72140969", "View Map")</f>
        <v>View Map</v>
      </c>
    </row>
    <row r="6" spans="1:7" x14ac:dyDescent="0.3">
      <c r="A6" t="s">
        <v>3008</v>
      </c>
      <c r="B6" t="s">
        <v>3009</v>
      </c>
      <c r="C6" t="s">
        <v>2999</v>
      </c>
      <c r="D6" t="s">
        <v>10</v>
      </c>
      <c r="E6">
        <v>3502</v>
      </c>
      <c r="F6" t="b">
        <v>1</v>
      </c>
      <c r="G6" t="str">
        <f>HYPERLINK("https://www.google.com/maps/search/?api=1&amp;query=24.13314947,47.34355138", "View Map")</f>
        <v>View Map</v>
      </c>
    </row>
    <row r="7" spans="1:7" x14ac:dyDescent="0.3">
      <c r="A7" t="s">
        <v>3005</v>
      </c>
      <c r="B7" t="s">
        <v>3010</v>
      </c>
      <c r="C7" t="s">
        <v>3007</v>
      </c>
      <c r="D7" t="s">
        <v>10</v>
      </c>
      <c r="E7">
        <v>3473</v>
      </c>
      <c r="F7" t="b">
        <v>1</v>
      </c>
      <c r="G7" t="str">
        <f>HYPERLINK("https://www.google.com/maps/search/?api=1&amp;query=22.28827317,46.72144073", "View Map")</f>
        <v>View Map</v>
      </c>
    </row>
    <row r="8" spans="1:7" x14ac:dyDescent="0.3">
      <c r="A8" t="s">
        <v>3011</v>
      </c>
      <c r="B8" t="s">
        <v>3012</v>
      </c>
      <c r="C8" t="s">
        <v>3007</v>
      </c>
      <c r="D8" t="s">
        <v>10</v>
      </c>
      <c r="E8">
        <v>2581</v>
      </c>
      <c r="F8" t="b">
        <v>1</v>
      </c>
      <c r="G8" t="str">
        <f>HYPERLINK("https://www.google.com/maps/search/?api=1&amp;query=22.30267156,46.72373659", "View Map")</f>
        <v>View Map</v>
      </c>
    </row>
    <row r="9" spans="1:7" x14ac:dyDescent="0.3">
      <c r="A9" t="s">
        <v>3013</v>
      </c>
      <c r="B9" t="s">
        <v>3014</v>
      </c>
      <c r="C9" t="s">
        <v>2999</v>
      </c>
      <c r="D9" t="s">
        <v>154</v>
      </c>
      <c r="E9">
        <v>2360</v>
      </c>
      <c r="F9" t="b">
        <v>1</v>
      </c>
      <c r="G9" t="str">
        <f>HYPERLINK("https://www.google.com/maps/search/?api=1&amp;query=24.13352099,47.28804134", "View Map")</f>
        <v>View Map</v>
      </c>
    </row>
    <row r="10" spans="1:7" x14ac:dyDescent="0.3">
      <c r="A10" t="s">
        <v>3015</v>
      </c>
      <c r="B10" t="s">
        <v>3016</v>
      </c>
      <c r="C10" t="s">
        <v>2999</v>
      </c>
      <c r="D10" t="s">
        <v>10</v>
      </c>
      <c r="E10">
        <v>2249</v>
      </c>
      <c r="F10" t="b">
        <v>1</v>
      </c>
      <c r="G10" t="str">
        <f>HYPERLINK("https://www.google.com/maps/search/?api=1&amp;query=24.16532819,47.33944296", "View Map")</f>
        <v>View Map</v>
      </c>
    </row>
    <row r="11" spans="1:7" x14ac:dyDescent="0.3">
      <c r="A11" t="s">
        <v>3017</v>
      </c>
      <c r="B11" t="s">
        <v>3018</v>
      </c>
      <c r="C11" t="s">
        <v>2999</v>
      </c>
      <c r="D11" t="s">
        <v>10</v>
      </c>
      <c r="E11">
        <v>2101</v>
      </c>
      <c r="F11" t="b">
        <v>1</v>
      </c>
      <c r="G11" t="str">
        <f>HYPERLINK("https://www.google.com/maps/search/?api=1&amp;query=24.13855392,47.28682893", "View Map")</f>
        <v>View Map</v>
      </c>
    </row>
    <row r="12" spans="1:7" x14ac:dyDescent="0.3">
      <c r="A12" t="s">
        <v>3003</v>
      </c>
      <c r="B12" t="s">
        <v>3019</v>
      </c>
      <c r="C12" t="s">
        <v>3020</v>
      </c>
      <c r="D12" t="s">
        <v>10</v>
      </c>
      <c r="E12">
        <v>1978</v>
      </c>
      <c r="F12" t="b">
        <v>1</v>
      </c>
      <c r="G12" t="str">
        <f>HYPERLINK("https://www.google.com/maps/search/?api=1&amp;query=23.63346239,46.52722316", "View Map")</f>
        <v>View Map</v>
      </c>
    </row>
    <row r="13" spans="1:7" x14ac:dyDescent="0.3">
      <c r="A13" t="s">
        <v>3021</v>
      </c>
      <c r="B13" t="s">
        <v>3022</v>
      </c>
      <c r="C13" t="s">
        <v>3023</v>
      </c>
      <c r="D13" t="s">
        <v>10</v>
      </c>
      <c r="E13">
        <v>1953</v>
      </c>
      <c r="F13" t="b">
        <v>1</v>
      </c>
      <c r="G13" t="str">
        <f>HYPERLINK("https://www.google.com/maps/search/?api=1&amp;query=23.49019876,46.86642954", "View Map")</f>
        <v>View Map</v>
      </c>
    </row>
    <row r="14" spans="1:7" x14ac:dyDescent="0.3">
      <c r="A14" t="s">
        <v>3024</v>
      </c>
      <c r="B14" t="s">
        <v>3025</v>
      </c>
      <c r="C14" t="s">
        <v>3002</v>
      </c>
      <c r="D14" t="s">
        <v>10</v>
      </c>
      <c r="E14">
        <v>1925</v>
      </c>
      <c r="F14" t="b">
        <v>1</v>
      </c>
      <c r="G14" t="str">
        <f>HYPERLINK("https://www.google.com/maps/search/?api=1&amp;query=20.45466368,44.85435293", "View Map")</f>
        <v>View Map</v>
      </c>
    </row>
    <row r="15" spans="1:7" x14ac:dyDescent="0.3">
      <c r="A15" t="s">
        <v>3026</v>
      </c>
      <c r="B15" t="s">
        <v>3027</v>
      </c>
      <c r="C15" t="s">
        <v>3028</v>
      </c>
      <c r="D15" t="s">
        <v>154</v>
      </c>
      <c r="E15">
        <v>1885</v>
      </c>
      <c r="F15" t="b">
        <v>1</v>
      </c>
      <c r="G15" t="str">
        <f>HYPERLINK("https://www.google.com/maps/search/?api=1&amp;query=24.07670621,47.16687189", "View Map")</f>
        <v>View Map</v>
      </c>
    </row>
    <row r="16" spans="1:7" x14ac:dyDescent="0.3">
      <c r="A16" t="s">
        <v>1578</v>
      </c>
      <c r="B16" t="s">
        <v>3029</v>
      </c>
      <c r="C16" t="s">
        <v>2999</v>
      </c>
      <c r="D16" t="s">
        <v>154</v>
      </c>
      <c r="E16">
        <v>1842</v>
      </c>
      <c r="F16" t="b">
        <v>1</v>
      </c>
      <c r="G16" t="str">
        <f>HYPERLINK("https://www.google.com/maps/search/?api=1&amp;query=24.0945035,47.27503035", "View Map")</f>
        <v>View Map</v>
      </c>
    </row>
    <row r="17" spans="1:7" x14ac:dyDescent="0.3">
      <c r="A17" t="s">
        <v>1578</v>
      </c>
      <c r="B17" t="s">
        <v>3030</v>
      </c>
      <c r="C17" t="s">
        <v>2999</v>
      </c>
      <c r="D17" t="s">
        <v>10</v>
      </c>
      <c r="E17">
        <v>1659</v>
      </c>
      <c r="F17" t="b">
        <v>1</v>
      </c>
      <c r="G17" t="str">
        <f>HYPERLINK("https://www.google.com/maps/search/?api=1&amp;query=24.16007137,47.23464169", "View Map")</f>
        <v>View Map</v>
      </c>
    </row>
    <row r="18" spans="1:7" x14ac:dyDescent="0.3">
      <c r="A18" t="s">
        <v>3031</v>
      </c>
      <c r="B18" t="s">
        <v>3032</v>
      </c>
      <c r="C18" t="s">
        <v>3002</v>
      </c>
      <c r="D18" t="s">
        <v>10</v>
      </c>
      <c r="E18">
        <v>1627</v>
      </c>
      <c r="F18" t="b">
        <v>1</v>
      </c>
      <c r="G18" t="str">
        <f>HYPERLINK("https://www.google.com/maps/search/?api=1&amp;query=20.46875995,44.76747325", "View Map")</f>
        <v>View Map</v>
      </c>
    </row>
    <row r="19" spans="1:7" x14ac:dyDescent="0.3">
      <c r="A19" t="s">
        <v>3033</v>
      </c>
      <c r="B19" t="s">
        <v>3034</v>
      </c>
      <c r="C19" t="s">
        <v>3002</v>
      </c>
      <c r="D19" t="s">
        <v>10</v>
      </c>
      <c r="E19">
        <v>1591</v>
      </c>
      <c r="F19" t="b">
        <v>0</v>
      </c>
      <c r="G19" t="str">
        <f>HYPERLINK("https://www.google.com/maps/search/?api=1&amp;query=20.44948124,44.84848058", "View Map")</f>
        <v>View Map</v>
      </c>
    </row>
    <row r="20" spans="1:7" x14ac:dyDescent="0.3">
      <c r="A20" t="s">
        <v>1578</v>
      </c>
      <c r="B20" t="s">
        <v>3035</v>
      </c>
      <c r="C20" t="s">
        <v>2999</v>
      </c>
      <c r="D20" t="s">
        <v>10</v>
      </c>
      <c r="E20">
        <v>1585</v>
      </c>
      <c r="F20" t="b">
        <v>1</v>
      </c>
      <c r="G20" t="str">
        <f>HYPERLINK("https://www.google.com/maps/search/?api=1&amp;query=24.08391463,47.2566621", "View Map")</f>
        <v>View Map</v>
      </c>
    </row>
    <row r="21" spans="1:7" x14ac:dyDescent="0.3">
      <c r="A21" t="s">
        <v>3036</v>
      </c>
      <c r="B21" t="s">
        <v>3037</v>
      </c>
      <c r="C21" t="s">
        <v>2999</v>
      </c>
      <c r="D21" t="s">
        <v>10</v>
      </c>
      <c r="E21">
        <v>1458</v>
      </c>
      <c r="F21" t="b">
        <v>1</v>
      </c>
      <c r="G21" t="str">
        <f>HYPERLINK("https://www.google.com/maps/search/?api=1&amp;query=24.13584247,47.35314122", "View Map")</f>
        <v>View Map</v>
      </c>
    </row>
    <row r="22" spans="1:7" x14ac:dyDescent="0.3">
      <c r="A22" t="s">
        <v>3038</v>
      </c>
      <c r="B22" t="s">
        <v>3039</v>
      </c>
      <c r="C22" t="s">
        <v>3007</v>
      </c>
      <c r="D22" t="s">
        <v>10</v>
      </c>
      <c r="E22">
        <v>1443</v>
      </c>
      <c r="F22" t="b">
        <v>1</v>
      </c>
      <c r="G22" t="str">
        <f>HYPERLINK("https://www.google.com/maps/search/?api=1&amp;query=22.1887528,46.49598408", "View Map")</f>
        <v>View Map</v>
      </c>
    </row>
    <row r="23" spans="1:7" x14ac:dyDescent="0.3">
      <c r="A23" t="s">
        <v>3040</v>
      </c>
      <c r="B23" t="s">
        <v>3041</v>
      </c>
      <c r="C23" t="s">
        <v>2999</v>
      </c>
      <c r="D23" t="s">
        <v>10</v>
      </c>
      <c r="E23">
        <v>1348</v>
      </c>
      <c r="F23" t="b">
        <v>1</v>
      </c>
      <c r="G23" t="str">
        <f>HYPERLINK("https://www.google.com/maps/search/?api=1&amp;query=24.17094571,47.34012958", "View Map")</f>
        <v>View Map</v>
      </c>
    </row>
    <row r="24" spans="1:7" x14ac:dyDescent="0.3">
      <c r="A24" t="s">
        <v>3042</v>
      </c>
      <c r="B24" t="s">
        <v>3043</v>
      </c>
      <c r="C24" t="s">
        <v>3028</v>
      </c>
      <c r="D24" t="s">
        <v>10</v>
      </c>
      <c r="E24">
        <v>1344</v>
      </c>
      <c r="F24" t="b">
        <v>1</v>
      </c>
      <c r="G24" t="str">
        <f>HYPERLINK("https://www.google.com/maps/search/?api=1&amp;query=23.9886,47.1644", "View Map")</f>
        <v>View Map</v>
      </c>
    </row>
    <row r="25" spans="1:7" x14ac:dyDescent="0.3">
      <c r="A25" t="s">
        <v>3044</v>
      </c>
      <c r="B25" t="s">
        <v>3045</v>
      </c>
      <c r="C25" t="s">
        <v>3007</v>
      </c>
      <c r="D25" t="s">
        <v>10</v>
      </c>
      <c r="E25">
        <v>1311</v>
      </c>
      <c r="F25" t="b">
        <v>1</v>
      </c>
      <c r="G25" t="str">
        <f>HYPERLINK("https://www.google.com/maps/search/?api=1&amp;query=22.04178402,46.5695802", "View Map")</f>
        <v>View Map</v>
      </c>
    </row>
    <row r="26" spans="1:7" x14ac:dyDescent="0.3">
      <c r="A26" t="s">
        <v>1370</v>
      </c>
      <c r="B26" t="s">
        <v>3046</v>
      </c>
      <c r="C26" t="s">
        <v>3002</v>
      </c>
      <c r="D26" t="s">
        <v>10</v>
      </c>
      <c r="E26">
        <v>1297</v>
      </c>
      <c r="F26" t="b">
        <v>1</v>
      </c>
      <c r="G26" t="str">
        <f>HYPERLINK("https://www.google.com/maps/search/?api=1&amp;query=20.45935227,44.75663044", "View Map")</f>
        <v>View Map</v>
      </c>
    </row>
    <row r="27" spans="1:7" x14ac:dyDescent="0.3">
      <c r="A27" t="s">
        <v>3047</v>
      </c>
      <c r="B27" t="s">
        <v>3048</v>
      </c>
      <c r="C27" t="s">
        <v>3002</v>
      </c>
      <c r="D27" t="s">
        <v>10</v>
      </c>
      <c r="E27">
        <v>1244</v>
      </c>
      <c r="F27" t="b">
        <v>1</v>
      </c>
      <c r="G27" t="str">
        <f>HYPERLINK("https://www.google.com/maps/search/?api=1&amp;query=20.4503241,44.8405842", "View Map")</f>
        <v>View Map</v>
      </c>
    </row>
    <row r="28" spans="1:7" x14ac:dyDescent="0.3">
      <c r="A28" t="s">
        <v>3049</v>
      </c>
      <c r="B28" t="s">
        <v>3050</v>
      </c>
      <c r="C28" t="s">
        <v>2999</v>
      </c>
      <c r="D28" t="s">
        <v>10</v>
      </c>
      <c r="E28">
        <v>1193</v>
      </c>
      <c r="F28" t="b">
        <v>1</v>
      </c>
      <c r="G28" t="str">
        <f>HYPERLINK("https://www.google.com/maps/search/?api=1&amp;query=24.16025664,47.31870038", "View Map")</f>
        <v>View Map</v>
      </c>
    </row>
    <row r="29" spans="1:7" x14ac:dyDescent="0.3">
      <c r="A29" t="s">
        <v>3051</v>
      </c>
      <c r="B29" t="s">
        <v>3052</v>
      </c>
      <c r="C29" t="s">
        <v>3002</v>
      </c>
      <c r="D29" t="s">
        <v>10</v>
      </c>
      <c r="E29">
        <v>1161</v>
      </c>
      <c r="F29" t="b">
        <v>1</v>
      </c>
      <c r="G29" t="str">
        <f>HYPERLINK("https://www.google.com/maps/search/?api=1&amp;query=20.45272293,44.84467153", "View Map")</f>
        <v>View Map</v>
      </c>
    </row>
    <row r="30" spans="1:7" x14ac:dyDescent="0.3">
      <c r="A30" t="s">
        <v>3053</v>
      </c>
      <c r="B30" t="s">
        <v>3054</v>
      </c>
      <c r="C30" t="s">
        <v>3002</v>
      </c>
      <c r="D30" t="s">
        <v>10</v>
      </c>
      <c r="E30">
        <v>1135</v>
      </c>
      <c r="F30" t="b">
        <v>1</v>
      </c>
      <c r="G30" t="str">
        <f>HYPERLINK("https://www.google.com/maps/search/?api=1&amp;query=20.47101102,44.79302675", "View Map")</f>
        <v>View Map</v>
      </c>
    </row>
    <row r="31" spans="1:7" x14ac:dyDescent="0.3">
      <c r="A31" t="s">
        <v>3055</v>
      </c>
      <c r="B31" t="s">
        <v>3056</v>
      </c>
      <c r="C31" t="s">
        <v>2999</v>
      </c>
      <c r="D31" t="s">
        <v>10</v>
      </c>
      <c r="E31">
        <v>1113</v>
      </c>
      <c r="F31" t="b">
        <v>1</v>
      </c>
      <c r="G31" t="str">
        <f>HYPERLINK("https://www.google.com/maps/search/?api=1&amp;query=24.12756351,47.26491257", "View Map")</f>
        <v>View Map</v>
      </c>
    </row>
    <row r="32" spans="1:7" x14ac:dyDescent="0.3">
      <c r="A32" t="s">
        <v>3057</v>
      </c>
      <c r="B32" t="s">
        <v>3058</v>
      </c>
      <c r="C32" t="s">
        <v>2999</v>
      </c>
      <c r="D32" t="s">
        <v>10</v>
      </c>
      <c r="E32">
        <v>1098</v>
      </c>
      <c r="F32" t="b">
        <v>1</v>
      </c>
      <c r="G32" t="str">
        <f>HYPERLINK("https://www.google.com/maps/search/?api=1&amp;query=24.14852722,47.30391987", "View Map")</f>
        <v>View Map</v>
      </c>
    </row>
    <row r="33" spans="1:7" x14ac:dyDescent="0.3">
      <c r="A33" t="s">
        <v>3059</v>
      </c>
      <c r="B33" t="s">
        <v>3060</v>
      </c>
      <c r="C33" t="s">
        <v>3002</v>
      </c>
      <c r="D33" t="s">
        <v>10</v>
      </c>
      <c r="E33">
        <v>1096</v>
      </c>
      <c r="F33" t="b">
        <v>1</v>
      </c>
      <c r="G33" t="str">
        <f>HYPERLINK("https://www.google.com/maps/search/?api=1&amp;query=20.46521864,44.78945013", "View Map")</f>
        <v>View Map</v>
      </c>
    </row>
    <row r="34" spans="1:7" x14ac:dyDescent="0.3">
      <c r="A34" t="s">
        <v>3061</v>
      </c>
      <c r="B34" t="s">
        <v>3062</v>
      </c>
      <c r="C34" t="s">
        <v>2999</v>
      </c>
      <c r="D34" t="s">
        <v>10</v>
      </c>
      <c r="E34">
        <v>1052</v>
      </c>
      <c r="F34" t="b">
        <v>1</v>
      </c>
      <c r="G34" t="str">
        <f>HYPERLINK("https://www.google.com/maps/search/?api=1&amp;query=24.15395984,47.30523611", "View Map")</f>
        <v>View Map</v>
      </c>
    </row>
    <row r="35" spans="1:7" x14ac:dyDescent="0.3">
      <c r="A35" t="s">
        <v>3063</v>
      </c>
      <c r="B35" t="s">
        <v>3064</v>
      </c>
      <c r="C35" t="s">
        <v>3002</v>
      </c>
      <c r="D35" t="s">
        <v>154</v>
      </c>
      <c r="E35">
        <v>1039</v>
      </c>
      <c r="F35" t="b">
        <v>1</v>
      </c>
      <c r="G35" t="str">
        <f>HYPERLINK("https://www.google.com/maps/search/?api=1&amp;query=20.47506535,44.77360534", "View Map")</f>
        <v>View Map</v>
      </c>
    </row>
    <row r="36" spans="1:7" x14ac:dyDescent="0.3">
      <c r="A36" t="s">
        <v>3065</v>
      </c>
      <c r="B36" t="s">
        <v>3066</v>
      </c>
      <c r="C36" t="s">
        <v>3023</v>
      </c>
      <c r="D36" t="s">
        <v>10</v>
      </c>
      <c r="E36">
        <v>1022</v>
      </c>
      <c r="F36" t="b">
        <v>1</v>
      </c>
      <c r="G36" t="str">
        <f>HYPERLINK("https://www.google.com/maps/search/?api=1&amp;query=23.48823798,46.85188467", "View Map")</f>
        <v>View Map</v>
      </c>
    </row>
    <row r="37" spans="1:7" x14ac:dyDescent="0.3">
      <c r="A37" t="s">
        <v>3067</v>
      </c>
      <c r="B37" t="s">
        <v>3068</v>
      </c>
      <c r="C37" t="s">
        <v>2999</v>
      </c>
      <c r="D37" t="s">
        <v>10</v>
      </c>
      <c r="E37">
        <v>1016</v>
      </c>
      <c r="F37" t="b">
        <v>1</v>
      </c>
      <c r="G37" t="str">
        <f>HYPERLINK("https://www.google.com/maps/search/?api=1&amp;query=24.13137844,47.27461704", "View Map")</f>
        <v>View Map</v>
      </c>
    </row>
    <row r="38" spans="1:7" x14ac:dyDescent="0.3">
      <c r="A38" t="s">
        <v>3069</v>
      </c>
      <c r="B38" t="s">
        <v>3070</v>
      </c>
      <c r="C38" t="s">
        <v>2999</v>
      </c>
      <c r="D38" t="s">
        <v>10</v>
      </c>
      <c r="E38">
        <v>1007</v>
      </c>
      <c r="F38" t="b">
        <v>1</v>
      </c>
      <c r="G38" t="str">
        <f>HYPERLINK("https://www.google.com/maps/search/?api=1&amp;query=24.11564,47.30104", "View Map")</f>
        <v>View Map</v>
      </c>
    </row>
    <row r="39" spans="1:7" x14ac:dyDescent="0.3">
      <c r="A39" t="s">
        <v>3071</v>
      </c>
      <c r="B39" t="s">
        <v>3072</v>
      </c>
      <c r="C39" t="s">
        <v>2999</v>
      </c>
      <c r="D39" t="s">
        <v>10</v>
      </c>
      <c r="E39">
        <v>1005</v>
      </c>
      <c r="F39" t="b">
        <v>1</v>
      </c>
      <c r="G39" t="str">
        <f>HYPERLINK("https://www.google.com/maps/search/?api=1&amp;query=24.14944077,47.31637879", "View Map")</f>
        <v>View Map</v>
      </c>
    </row>
    <row r="40" spans="1:7" x14ac:dyDescent="0.3">
      <c r="A40" t="s">
        <v>3073</v>
      </c>
      <c r="B40" t="s">
        <v>3074</v>
      </c>
      <c r="C40" t="s">
        <v>2999</v>
      </c>
      <c r="D40" t="s">
        <v>10</v>
      </c>
      <c r="E40">
        <v>992</v>
      </c>
      <c r="F40" t="b">
        <v>1</v>
      </c>
      <c r="G40" t="str">
        <f>HYPERLINK("https://www.google.com/maps/search/?api=1&amp;query=24.17869167,47.36518279", "View Map")</f>
        <v>View Map</v>
      </c>
    </row>
    <row r="41" spans="1:7" x14ac:dyDescent="0.3">
      <c r="A41" t="s">
        <v>3075</v>
      </c>
      <c r="B41" t="s">
        <v>3076</v>
      </c>
      <c r="C41" t="s">
        <v>3077</v>
      </c>
      <c r="D41" t="s">
        <v>10</v>
      </c>
      <c r="E41">
        <v>990</v>
      </c>
      <c r="F41" t="b">
        <v>1</v>
      </c>
      <c r="G41" t="str">
        <f>HYPERLINK("https://www.google.com/maps/search/?api=1&amp;query=20.4583537,45.5847935", "View Map")</f>
        <v>View Map</v>
      </c>
    </row>
    <row r="42" spans="1:7" x14ac:dyDescent="0.3">
      <c r="A42" t="s">
        <v>3078</v>
      </c>
      <c r="B42" t="s">
        <v>3079</v>
      </c>
      <c r="C42" t="s">
        <v>3023</v>
      </c>
      <c r="D42" t="s">
        <v>10</v>
      </c>
      <c r="E42">
        <v>988</v>
      </c>
      <c r="F42" t="b">
        <v>0</v>
      </c>
      <c r="G42" t="str">
        <f>HYPERLINK("https://www.google.com/maps/search/?api=1&amp;query=23.49435241,46.85308816", "View Map")</f>
        <v>View Map</v>
      </c>
    </row>
    <row r="43" spans="1:7" x14ac:dyDescent="0.3">
      <c r="A43" t="s">
        <v>3080</v>
      </c>
      <c r="B43" t="s">
        <v>3081</v>
      </c>
      <c r="C43" t="s">
        <v>3028</v>
      </c>
      <c r="D43" t="s">
        <v>10</v>
      </c>
      <c r="E43">
        <v>986</v>
      </c>
      <c r="F43" t="b">
        <v>1</v>
      </c>
      <c r="G43" t="str">
        <f>HYPERLINK("https://www.google.com/maps/search/?api=1&amp;query=23.99563646,47.1238727", "View Map")</f>
        <v>View Map</v>
      </c>
    </row>
    <row r="44" spans="1:7" x14ac:dyDescent="0.3">
      <c r="A44" t="s">
        <v>3082</v>
      </c>
      <c r="B44" t="s">
        <v>3083</v>
      </c>
      <c r="C44" t="s">
        <v>3002</v>
      </c>
      <c r="D44" t="s">
        <v>10</v>
      </c>
      <c r="E44">
        <v>965</v>
      </c>
      <c r="F44" t="b">
        <v>1</v>
      </c>
      <c r="G44" t="str">
        <f>HYPERLINK("https://www.google.com/maps/search/?api=1&amp;query=20.42940844,45.0172764", "View Map")</f>
        <v>View Map</v>
      </c>
    </row>
    <row r="45" spans="1:7" x14ac:dyDescent="0.3">
      <c r="A45" t="s">
        <v>3084</v>
      </c>
      <c r="B45" t="s">
        <v>3085</v>
      </c>
      <c r="C45" t="s">
        <v>3002</v>
      </c>
      <c r="D45" t="s">
        <v>10</v>
      </c>
      <c r="E45">
        <v>958</v>
      </c>
      <c r="F45" t="b">
        <v>1</v>
      </c>
      <c r="G45" t="str">
        <f>HYPERLINK("https://www.google.com/maps/search/?api=1&amp;query=20.46947157,45.05679971", "View Map")</f>
        <v>View Map</v>
      </c>
    </row>
    <row r="46" spans="1:7" x14ac:dyDescent="0.3">
      <c r="A46" t="s">
        <v>3086</v>
      </c>
      <c r="B46" t="s">
        <v>3087</v>
      </c>
      <c r="C46" t="s">
        <v>2999</v>
      </c>
      <c r="D46" t="s">
        <v>10</v>
      </c>
      <c r="E46">
        <v>952</v>
      </c>
      <c r="F46" t="b">
        <v>1</v>
      </c>
      <c r="G46" t="str">
        <f>HYPERLINK("https://www.google.com/maps/search/?api=1&amp;query=24.04238747,47.34421608", "View Map")</f>
        <v>View Map</v>
      </c>
    </row>
    <row r="47" spans="1:7" x14ac:dyDescent="0.3">
      <c r="A47" t="s">
        <v>3088</v>
      </c>
      <c r="B47" t="s">
        <v>3089</v>
      </c>
      <c r="C47" t="s">
        <v>3028</v>
      </c>
      <c r="D47" t="s">
        <v>10</v>
      </c>
      <c r="E47">
        <v>940</v>
      </c>
      <c r="F47" t="b">
        <v>1</v>
      </c>
      <c r="G47" t="str">
        <f>HYPERLINK("https://www.google.com/maps/search/?api=1&amp;query=24.01255424,47.13182357", "View Map")</f>
        <v>View Map</v>
      </c>
    </row>
    <row r="48" spans="1:7" x14ac:dyDescent="0.3">
      <c r="A48" t="s">
        <v>3090</v>
      </c>
      <c r="B48" t="s">
        <v>3091</v>
      </c>
      <c r="C48" t="s">
        <v>3002</v>
      </c>
      <c r="D48" t="s">
        <v>10</v>
      </c>
      <c r="E48">
        <v>936</v>
      </c>
      <c r="F48" t="b">
        <v>1</v>
      </c>
      <c r="G48" t="str">
        <f>HYPERLINK("https://www.google.com/maps/search/?api=1&amp;query=20.4337845,44.77963537", "View Map")</f>
        <v>View Map</v>
      </c>
    </row>
    <row r="49" spans="1:7" x14ac:dyDescent="0.3">
      <c r="A49" t="s">
        <v>3092</v>
      </c>
      <c r="B49" t="s">
        <v>3093</v>
      </c>
      <c r="C49" t="s">
        <v>3007</v>
      </c>
      <c r="D49" t="s">
        <v>10</v>
      </c>
      <c r="E49">
        <v>927</v>
      </c>
      <c r="F49" t="b">
        <v>0</v>
      </c>
      <c r="G49" t="str">
        <f>HYPERLINK("https://www.google.com/maps/search/?api=1&amp;query=22.45351423,46.58201305", "View Map")</f>
        <v>View Map</v>
      </c>
    </row>
    <row r="50" spans="1:7" x14ac:dyDescent="0.3">
      <c r="A50" t="s">
        <v>3094</v>
      </c>
      <c r="B50" t="s">
        <v>3095</v>
      </c>
      <c r="C50" t="s">
        <v>2999</v>
      </c>
      <c r="D50" t="s">
        <v>10</v>
      </c>
      <c r="E50">
        <v>921</v>
      </c>
      <c r="F50" t="b">
        <v>1</v>
      </c>
      <c r="G50" t="str">
        <f>HYPERLINK("https://www.google.com/maps/search/?api=1&amp;query=24.19154391,47.2902271", "View Map")</f>
        <v>View Map</v>
      </c>
    </row>
    <row r="51" spans="1:7" x14ac:dyDescent="0.3">
      <c r="A51" t="s">
        <v>1578</v>
      </c>
      <c r="B51" t="s">
        <v>3096</v>
      </c>
      <c r="C51" t="s">
        <v>2999</v>
      </c>
      <c r="D51" t="s">
        <v>10</v>
      </c>
      <c r="E51">
        <v>920</v>
      </c>
      <c r="F51" t="b">
        <v>1</v>
      </c>
      <c r="G51" t="str">
        <f>HYPERLINK("https://www.google.com/maps/search/?api=1&amp;query=24.17319047,47.34223867", "View Map")</f>
        <v>View Map</v>
      </c>
    </row>
    <row r="52" spans="1:7" x14ac:dyDescent="0.3">
      <c r="A52" t="s">
        <v>3097</v>
      </c>
      <c r="B52" t="s">
        <v>3098</v>
      </c>
      <c r="C52" t="s">
        <v>3077</v>
      </c>
      <c r="D52" t="s">
        <v>10</v>
      </c>
      <c r="E52">
        <v>919</v>
      </c>
      <c r="F52" t="b">
        <v>0</v>
      </c>
      <c r="G52" t="str">
        <f>HYPERLINK("https://www.google.com/maps/search/?api=1&amp;query=20.45828528,45.60095048", "View Map")</f>
        <v>View Map</v>
      </c>
    </row>
    <row r="53" spans="1:7" x14ac:dyDescent="0.3">
      <c r="A53" t="s">
        <v>3099</v>
      </c>
      <c r="B53" t="s">
        <v>3100</v>
      </c>
      <c r="C53" t="s">
        <v>3002</v>
      </c>
      <c r="D53" t="s">
        <v>10</v>
      </c>
      <c r="E53">
        <v>907</v>
      </c>
      <c r="F53" t="b">
        <v>1</v>
      </c>
      <c r="G53" t="str">
        <f>HYPERLINK("https://www.google.com/maps/search/?api=1&amp;query=20.40946347,45.14229054", "View Map")</f>
        <v>View Map</v>
      </c>
    </row>
    <row r="54" spans="1:7" x14ac:dyDescent="0.3">
      <c r="A54" t="s">
        <v>1578</v>
      </c>
      <c r="B54" t="s">
        <v>3101</v>
      </c>
      <c r="C54" t="s">
        <v>3028</v>
      </c>
      <c r="D54" t="s">
        <v>10</v>
      </c>
      <c r="E54">
        <v>898</v>
      </c>
      <c r="F54" t="b">
        <v>1</v>
      </c>
      <c r="G54" t="str">
        <f>HYPERLINK("https://www.google.com/maps/search/?api=1&amp;query=24.09777746,47.16895294", "View Map")</f>
        <v>View Map</v>
      </c>
    </row>
    <row r="55" spans="1:7" x14ac:dyDescent="0.3">
      <c r="A55" t="s">
        <v>3102</v>
      </c>
      <c r="B55" t="s">
        <v>3103</v>
      </c>
      <c r="C55" t="s">
        <v>3002</v>
      </c>
      <c r="D55" t="s">
        <v>10</v>
      </c>
      <c r="E55">
        <v>896</v>
      </c>
      <c r="F55" t="b">
        <v>1</v>
      </c>
      <c r="G55" t="str">
        <f>HYPERLINK("https://www.google.com/maps/search/?api=1&amp;query=20.43271828,44.85573303", "View Map")</f>
        <v>View Map</v>
      </c>
    </row>
    <row r="56" spans="1:7" x14ac:dyDescent="0.3">
      <c r="A56" t="s">
        <v>3104</v>
      </c>
      <c r="B56" t="s">
        <v>3105</v>
      </c>
      <c r="C56" t="s">
        <v>3028</v>
      </c>
      <c r="D56" t="s">
        <v>10</v>
      </c>
      <c r="E56">
        <v>881</v>
      </c>
      <c r="F56" t="b">
        <v>1</v>
      </c>
      <c r="G56" t="str">
        <f>HYPERLINK("https://www.google.com/maps/search/?api=1&amp;query=23.99789822,47.11837938", "View Map")</f>
        <v>View Map</v>
      </c>
    </row>
    <row r="57" spans="1:7" x14ac:dyDescent="0.3">
      <c r="A57" t="s">
        <v>3106</v>
      </c>
      <c r="B57" t="s">
        <v>3107</v>
      </c>
      <c r="C57" t="s">
        <v>3028</v>
      </c>
      <c r="D57" t="s">
        <v>10</v>
      </c>
      <c r="E57">
        <v>877</v>
      </c>
      <c r="F57" t="b">
        <v>1</v>
      </c>
      <c r="G57" t="str">
        <f>HYPERLINK("https://www.google.com/maps/search/?api=1&amp;query=23.95827861,47.11796616", "View Map")</f>
        <v>View Map</v>
      </c>
    </row>
    <row r="58" spans="1:7" x14ac:dyDescent="0.3">
      <c r="A58" t="s">
        <v>1370</v>
      </c>
      <c r="B58" t="s">
        <v>3108</v>
      </c>
      <c r="C58" t="s">
        <v>3002</v>
      </c>
      <c r="D58" t="s">
        <v>10</v>
      </c>
      <c r="E58">
        <v>871</v>
      </c>
      <c r="F58" t="b">
        <v>1</v>
      </c>
      <c r="G58" t="str">
        <f>HYPERLINK("https://www.google.com/maps/search/?api=1&amp;query=20.4503241,44.8405842", "View Map")</f>
        <v>View Map</v>
      </c>
    </row>
    <row r="59" spans="1:7" x14ac:dyDescent="0.3">
      <c r="A59" t="s">
        <v>3109</v>
      </c>
      <c r="B59" t="s">
        <v>3110</v>
      </c>
      <c r="C59" t="s">
        <v>2999</v>
      </c>
      <c r="D59" t="s">
        <v>1715</v>
      </c>
      <c r="E59">
        <v>870</v>
      </c>
      <c r="F59" t="b">
        <v>0</v>
      </c>
      <c r="G59" t="str">
        <f>HYPERLINK("https://www.google.com/maps/search/?api=1&amp;query=24.04654004,47.34852651", "View Map")</f>
        <v>View Map</v>
      </c>
    </row>
    <row r="60" spans="1:7" x14ac:dyDescent="0.3">
      <c r="A60" t="s">
        <v>1370</v>
      </c>
      <c r="B60" t="s">
        <v>3111</v>
      </c>
      <c r="C60" t="s">
        <v>3002</v>
      </c>
      <c r="D60" t="s">
        <v>154</v>
      </c>
      <c r="E60">
        <v>868</v>
      </c>
      <c r="F60" t="b">
        <v>1</v>
      </c>
      <c r="G60" t="str">
        <f>HYPERLINK("https://www.google.com/maps/search/?api=1&amp;query=20.41969598,44.8391955", "View Map")</f>
        <v>View Map</v>
      </c>
    </row>
    <row r="61" spans="1:7" x14ac:dyDescent="0.3">
      <c r="A61" t="s">
        <v>3112</v>
      </c>
      <c r="B61" t="s">
        <v>3113</v>
      </c>
      <c r="C61" t="s">
        <v>2999</v>
      </c>
      <c r="D61" t="s">
        <v>10</v>
      </c>
      <c r="E61">
        <v>859</v>
      </c>
      <c r="F61" t="b">
        <v>1</v>
      </c>
      <c r="G61" t="str">
        <f>HYPERLINK("https://www.google.com/maps/search/?api=1&amp;query=24.15426279,47.33110943", "View Map")</f>
        <v>View Map</v>
      </c>
    </row>
    <row r="62" spans="1:7" x14ac:dyDescent="0.3">
      <c r="A62" t="s">
        <v>3114</v>
      </c>
      <c r="B62" t="s">
        <v>3115</v>
      </c>
      <c r="C62" t="s">
        <v>3002</v>
      </c>
      <c r="D62" t="s">
        <v>10</v>
      </c>
      <c r="E62">
        <v>854</v>
      </c>
      <c r="F62" t="b">
        <v>1</v>
      </c>
      <c r="G62" t="str">
        <f>HYPERLINK("https://www.google.com/maps/search/?api=1&amp;query=20.47696215,45.14269688", "View Map")</f>
        <v>View Map</v>
      </c>
    </row>
    <row r="63" spans="1:7" x14ac:dyDescent="0.3">
      <c r="A63" t="s">
        <v>3116</v>
      </c>
      <c r="B63" t="s">
        <v>3117</v>
      </c>
      <c r="C63" t="s">
        <v>3028</v>
      </c>
      <c r="D63" t="s">
        <v>154</v>
      </c>
      <c r="E63">
        <v>849</v>
      </c>
      <c r="F63" t="b">
        <v>1</v>
      </c>
      <c r="G63" t="str">
        <f>HYPERLINK("https://www.google.com/maps/search/?api=1&amp;query=24.07251705,47.1769359", "View Map")</f>
        <v>View Map</v>
      </c>
    </row>
    <row r="64" spans="1:7" x14ac:dyDescent="0.3">
      <c r="A64" t="s">
        <v>3118</v>
      </c>
      <c r="B64" t="s">
        <v>3119</v>
      </c>
      <c r="C64" t="s">
        <v>3028</v>
      </c>
      <c r="D64" t="s">
        <v>10</v>
      </c>
      <c r="E64">
        <v>840</v>
      </c>
      <c r="F64" t="b">
        <v>1</v>
      </c>
      <c r="G64" t="str">
        <f>HYPERLINK("https://www.google.com/maps/search/?api=1&amp;query=24.01149185,47.13158961", "View Map")</f>
        <v>View Map</v>
      </c>
    </row>
    <row r="65" spans="1:7" x14ac:dyDescent="0.3">
      <c r="A65" t="s">
        <v>3120</v>
      </c>
      <c r="B65" t="s">
        <v>3121</v>
      </c>
      <c r="C65" t="s">
        <v>3007</v>
      </c>
      <c r="D65" t="s">
        <v>10</v>
      </c>
      <c r="E65">
        <v>837</v>
      </c>
      <c r="F65" t="b">
        <v>1</v>
      </c>
      <c r="G65" t="str">
        <f>HYPERLINK("https://www.google.com/maps/search/?api=1&amp;query=22.45488746,46.58204475", "View Map")</f>
        <v>View Map</v>
      </c>
    </row>
    <row r="66" spans="1:7" x14ac:dyDescent="0.3">
      <c r="A66" t="s">
        <v>3122</v>
      </c>
      <c r="B66" t="s">
        <v>3123</v>
      </c>
      <c r="C66" t="s">
        <v>3023</v>
      </c>
      <c r="D66" t="s">
        <v>154</v>
      </c>
      <c r="E66">
        <v>834</v>
      </c>
      <c r="F66" t="b">
        <v>1</v>
      </c>
      <c r="G66" t="str">
        <f>HYPERLINK("https://www.google.com/maps/search/?api=1&amp;query=23.4925467,46.86371686", "View Map")</f>
        <v>View Map</v>
      </c>
    </row>
    <row r="67" spans="1:7" x14ac:dyDescent="0.3">
      <c r="A67" t="s">
        <v>3124</v>
      </c>
      <c r="B67" t="s">
        <v>3125</v>
      </c>
      <c r="C67" t="s">
        <v>3007</v>
      </c>
      <c r="D67" t="s">
        <v>154</v>
      </c>
      <c r="E67">
        <v>828</v>
      </c>
      <c r="F67" t="b">
        <v>1</v>
      </c>
      <c r="G67" t="str">
        <f>HYPERLINK("https://www.google.com/maps/search/?api=1&amp;query=22.22870053,46.69283442", "View Map")</f>
        <v>View Map</v>
      </c>
    </row>
    <row r="68" spans="1:7" x14ac:dyDescent="0.3">
      <c r="A68" t="s">
        <v>3126</v>
      </c>
      <c r="B68" t="s">
        <v>3127</v>
      </c>
      <c r="C68" t="s">
        <v>3023</v>
      </c>
      <c r="D68" t="s">
        <v>154</v>
      </c>
      <c r="E68">
        <v>817</v>
      </c>
      <c r="F68" t="b">
        <v>0</v>
      </c>
      <c r="G68" t="str">
        <f>HYPERLINK("https://www.google.com/maps/search/?api=1&amp;query=23.50098371,46.8859067", "View Map")</f>
        <v>View Map</v>
      </c>
    </row>
    <row r="69" spans="1:7" x14ac:dyDescent="0.3">
      <c r="A69" t="s">
        <v>3128</v>
      </c>
      <c r="B69" t="s">
        <v>3129</v>
      </c>
      <c r="C69" t="s">
        <v>3028</v>
      </c>
      <c r="D69" t="s">
        <v>10</v>
      </c>
      <c r="E69">
        <v>809</v>
      </c>
      <c r="F69" t="b">
        <v>1</v>
      </c>
      <c r="G69" t="str">
        <f>HYPERLINK("https://www.google.com/maps/search/?api=1&amp;query=23.99279259,47.11241641", "View Map")</f>
        <v>View Map</v>
      </c>
    </row>
    <row r="70" spans="1:7" x14ac:dyDescent="0.3">
      <c r="A70" t="s">
        <v>1578</v>
      </c>
      <c r="B70" t="s">
        <v>3130</v>
      </c>
      <c r="C70" t="s">
        <v>2999</v>
      </c>
      <c r="D70" t="s">
        <v>10</v>
      </c>
      <c r="E70">
        <v>805</v>
      </c>
      <c r="F70" t="b">
        <v>1</v>
      </c>
      <c r="G70" t="str">
        <f>HYPERLINK("https://www.google.com/maps/search/?api=1&amp;query=24.16007137,47.23464169", "View Map")</f>
        <v>View Map</v>
      </c>
    </row>
    <row r="71" spans="1:7" x14ac:dyDescent="0.3">
      <c r="A71" t="s">
        <v>3044</v>
      </c>
      <c r="B71" t="s">
        <v>3131</v>
      </c>
      <c r="C71" t="s">
        <v>3007</v>
      </c>
      <c r="D71" t="s">
        <v>10</v>
      </c>
      <c r="E71">
        <v>801</v>
      </c>
      <c r="F71" t="b">
        <v>1</v>
      </c>
      <c r="G71" t="str">
        <f>HYPERLINK("https://www.google.com/maps/search/?api=1&amp;query=22.01179802,46.59672528", "View Map")</f>
        <v>View Map</v>
      </c>
    </row>
    <row r="72" spans="1:7" x14ac:dyDescent="0.3">
      <c r="A72" t="s">
        <v>3132</v>
      </c>
      <c r="B72" t="s">
        <v>3133</v>
      </c>
      <c r="C72" t="s">
        <v>2999</v>
      </c>
      <c r="D72" t="s">
        <v>154</v>
      </c>
      <c r="E72">
        <v>798</v>
      </c>
      <c r="F72" t="b">
        <v>1</v>
      </c>
      <c r="G72" t="str">
        <f>HYPERLINK("https://www.google.com/maps/search/?api=1&amp;query=24.1259483,47.27599942", "View Map")</f>
        <v>View Map</v>
      </c>
    </row>
    <row r="73" spans="1:7" x14ac:dyDescent="0.3">
      <c r="A73" t="s">
        <v>3134</v>
      </c>
      <c r="B73" t="s">
        <v>3135</v>
      </c>
      <c r="C73" t="s">
        <v>3028</v>
      </c>
      <c r="D73" t="s">
        <v>154</v>
      </c>
      <c r="E73">
        <v>796</v>
      </c>
      <c r="F73" t="b">
        <v>1</v>
      </c>
      <c r="G73" t="str">
        <f>HYPERLINK("https://www.google.com/maps/search/?api=1&amp;query=23.96111,47.17606", "View Map")</f>
        <v>View Map</v>
      </c>
    </row>
    <row r="74" spans="1:7" x14ac:dyDescent="0.3">
      <c r="A74" t="s">
        <v>3136</v>
      </c>
      <c r="B74" t="s">
        <v>3137</v>
      </c>
      <c r="C74" t="s">
        <v>2999</v>
      </c>
      <c r="D74" t="s">
        <v>10</v>
      </c>
      <c r="E74">
        <v>784</v>
      </c>
      <c r="F74" t="b">
        <v>1</v>
      </c>
      <c r="G74" t="str">
        <f>HYPERLINK("https://www.google.com/maps/search/?api=1&amp;query=24.14283231,47.33389687", "View Map")</f>
        <v>View Map</v>
      </c>
    </row>
    <row r="75" spans="1:7" x14ac:dyDescent="0.3">
      <c r="A75" t="s">
        <v>1370</v>
      </c>
      <c r="B75" t="s">
        <v>3138</v>
      </c>
      <c r="C75" t="s">
        <v>3002</v>
      </c>
      <c r="D75" t="s">
        <v>10</v>
      </c>
      <c r="E75">
        <v>782</v>
      </c>
      <c r="F75" t="b">
        <v>1</v>
      </c>
      <c r="G75" t="str">
        <f>HYPERLINK("https://www.google.com/maps/search/?api=1&amp;query=20.43293361,44.82176449", "View Map")</f>
        <v>View Map</v>
      </c>
    </row>
    <row r="76" spans="1:7" x14ac:dyDescent="0.3">
      <c r="A76" t="s">
        <v>3139</v>
      </c>
      <c r="B76" t="s">
        <v>3140</v>
      </c>
      <c r="C76" t="s">
        <v>2999</v>
      </c>
      <c r="D76" t="s">
        <v>154</v>
      </c>
      <c r="E76">
        <v>771</v>
      </c>
      <c r="F76" t="b">
        <v>1</v>
      </c>
      <c r="G76" t="str">
        <f>HYPERLINK("https://www.google.com/maps/search/?api=1&amp;query=24.19700207,47.29871877", "View Map")</f>
        <v>View Map</v>
      </c>
    </row>
    <row r="77" spans="1:7" x14ac:dyDescent="0.3">
      <c r="A77" t="s">
        <v>3141</v>
      </c>
      <c r="B77" t="s">
        <v>3142</v>
      </c>
      <c r="C77" t="s">
        <v>3007</v>
      </c>
      <c r="D77" t="s">
        <v>10</v>
      </c>
      <c r="E77">
        <v>759</v>
      </c>
      <c r="F77" t="b">
        <v>1</v>
      </c>
      <c r="G77" t="str">
        <f>HYPERLINK("https://www.google.com/maps/search/?api=1&amp;query=22.74584708,46.30852893", "View Map")</f>
        <v>View Map</v>
      </c>
    </row>
    <row r="78" spans="1:7" x14ac:dyDescent="0.3">
      <c r="A78" t="s">
        <v>2546</v>
      </c>
      <c r="B78" t="s">
        <v>3143</v>
      </c>
      <c r="C78" t="s">
        <v>3077</v>
      </c>
      <c r="D78" t="s">
        <v>10</v>
      </c>
      <c r="E78">
        <v>758</v>
      </c>
      <c r="F78" t="b">
        <v>1</v>
      </c>
      <c r="G78" t="str">
        <f>HYPERLINK("https://www.google.com/maps/search/?api=1&amp;query=20.44686468,45.19487975", "View Map")</f>
        <v>View Map</v>
      </c>
    </row>
    <row r="79" spans="1:7" x14ac:dyDescent="0.3">
      <c r="A79" t="s">
        <v>3144</v>
      </c>
      <c r="B79" t="s">
        <v>3145</v>
      </c>
      <c r="C79" t="s">
        <v>2999</v>
      </c>
      <c r="D79" t="s">
        <v>10</v>
      </c>
      <c r="E79">
        <v>754</v>
      </c>
      <c r="F79" t="b">
        <v>1</v>
      </c>
      <c r="G79" t="str">
        <f>HYPERLINK("https://www.google.com/maps/search/?api=1&amp;query=24.1457091,47.30523873", "View Map")</f>
        <v>View Map</v>
      </c>
    </row>
    <row r="80" spans="1:7" x14ac:dyDescent="0.3">
      <c r="A80" t="s">
        <v>3146</v>
      </c>
      <c r="B80" t="s">
        <v>3147</v>
      </c>
      <c r="C80" t="s">
        <v>2999</v>
      </c>
      <c r="D80" t="s">
        <v>10</v>
      </c>
      <c r="E80">
        <v>753</v>
      </c>
      <c r="F80" t="b">
        <v>1</v>
      </c>
      <c r="G80" t="str">
        <f>HYPERLINK("https://www.google.com/maps/search/?api=1&amp;query=24.10812208,47.28429742", "View Map")</f>
        <v>View Map</v>
      </c>
    </row>
    <row r="81" spans="1:7" x14ac:dyDescent="0.3">
      <c r="A81" t="s">
        <v>3148</v>
      </c>
      <c r="B81" t="s">
        <v>3149</v>
      </c>
      <c r="C81" t="s">
        <v>3002</v>
      </c>
      <c r="D81" t="s">
        <v>10</v>
      </c>
      <c r="E81">
        <v>752</v>
      </c>
      <c r="F81" t="b">
        <v>1</v>
      </c>
      <c r="G81" t="str">
        <f>HYPERLINK("https://www.google.com/maps/search/?api=1&amp;query=20.46451015,44.76095763", "View Map")</f>
        <v>View Map</v>
      </c>
    </row>
    <row r="82" spans="1:7" x14ac:dyDescent="0.3">
      <c r="A82" t="s">
        <v>1578</v>
      </c>
      <c r="B82" t="s">
        <v>3150</v>
      </c>
      <c r="C82" t="s">
        <v>2999</v>
      </c>
      <c r="D82" t="s">
        <v>10</v>
      </c>
      <c r="E82">
        <v>744</v>
      </c>
      <c r="F82" t="b">
        <v>1</v>
      </c>
      <c r="G82" t="str">
        <f>HYPERLINK("https://www.google.com/maps/search/?api=1&amp;query=24.09418362,47.29642547", "View Map")</f>
        <v>View Map</v>
      </c>
    </row>
    <row r="83" spans="1:7" x14ac:dyDescent="0.3">
      <c r="A83" t="s">
        <v>3151</v>
      </c>
      <c r="B83" t="s">
        <v>3152</v>
      </c>
      <c r="C83" t="s">
        <v>3002</v>
      </c>
      <c r="D83" t="s">
        <v>10</v>
      </c>
      <c r="E83">
        <v>739</v>
      </c>
      <c r="F83" t="b">
        <v>1</v>
      </c>
      <c r="G83" t="str">
        <f>HYPERLINK("https://www.google.com/maps/search/?api=1&amp;query=20.45321588,44.81211579", "View Map")</f>
        <v>View Map</v>
      </c>
    </row>
    <row r="84" spans="1:7" x14ac:dyDescent="0.3">
      <c r="A84" t="s">
        <v>3153</v>
      </c>
      <c r="B84" t="s">
        <v>3154</v>
      </c>
      <c r="C84" t="s">
        <v>3002</v>
      </c>
      <c r="D84" t="s">
        <v>154</v>
      </c>
      <c r="E84">
        <v>737</v>
      </c>
      <c r="F84" t="b">
        <v>1</v>
      </c>
      <c r="G84" t="str">
        <f>HYPERLINK("https://www.google.com/maps/search/?api=1&amp;query=20.46526271,44.78159819", "View Map")</f>
        <v>View Map</v>
      </c>
    </row>
    <row r="85" spans="1:7" x14ac:dyDescent="0.3">
      <c r="A85" t="s">
        <v>1578</v>
      </c>
      <c r="B85" t="s">
        <v>3155</v>
      </c>
      <c r="C85" t="s">
        <v>2999</v>
      </c>
      <c r="D85" t="s">
        <v>10</v>
      </c>
      <c r="E85">
        <v>734</v>
      </c>
      <c r="F85" t="b">
        <v>1</v>
      </c>
      <c r="G85" t="str">
        <f>HYPERLINK("https://www.google.com/maps/search/?api=1&amp;query=24.13955011,47.27518753", "View Map")</f>
        <v>View Map</v>
      </c>
    </row>
    <row r="86" spans="1:7" x14ac:dyDescent="0.3">
      <c r="A86" t="s">
        <v>1578</v>
      </c>
      <c r="B86" t="s">
        <v>3156</v>
      </c>
      <c r="C86" t="s">
        <v>2999</v>
      </c>
      <c r="D86" t="s">
        <v>154</v>
      </c>
      <c r="E86">
        <v>732</v>
      </c>
      <c r="F86" t="b">
        <v>1</v>
      </c>
      <c r="G86" t="str">
        <f>HYPERLINK("https://www.google.com/maps/search/?api=1&amp;query=24.23245208,47.22206191", "View Map")</f>
        <v>View Map</v>
      </c>
    </row>
    <row r="87" spans="1:7" x14ac:dyDescent="0.3">
      <c r="A87" t="s">
        <v>3157</v>
      </c>
      <c r="B87" t="s">
        <v>3158</v>
      </c>
      <c r="C87" t="s">
        <v>2999</v>
      </c>
      <c r="D87" t="s">
        <v>10</v>
      </c>
      <c r="E87">
        <v>731</v>
      </c>
      <c r="F87" t="b">
        <v>1</v>
      </c>
      <c r="G87" t="str">
        <f>HYPERLINK("https://www.google.com/maps/search/?api=1&amp;query=24.17494047,47.34780505", "View Map")</f>
        <v>View Map</v>
      </c>
    </row>
    <row r="88" spans="1:7" x14ac:dyDescent="0.3">
      <c r="A88" t="s">
        <v>1370</v>
      </c>
      <c r="B88" t="s">
        <v>3159</v>
      </c>
      <c r="C88" t="s">
        <v>3002</v>
      </c>
      <c r="D88" t="s">
        <v>154</v>
      </c>
      <c r="E88">
        <v>730</v>
      </c>
      <c r="F88" t="b">
        <v>1</v>
      </c>
      <c r="G88" t="str">
        <f>HYPERLINK("https://www.google.com/maps/search/?api=1&amp;query=20.420367,44.76540525", "View Map")</f>
        <v>View Map</v>
      </c>
    </row>
    <row r="89" spans="1:7" x14ac:dyDescent="0.3">
      <c r="A89" t="s">
        <v>3160</v>
      </c>
      <c r="B89" t="s">
        <v>3161</v>
      </c>
      <c r="C89" t="s">
        <v>3028</v>
      </c>
      <c r="D89" t="s">
        <v>10</v>
      </c>
      <c r="E89">
        <v>730</v>
      </c>
      <c r="F89" t="b">
        <v>0</v>
      </c>
      <c r="G89" t="str">
        <f>HYPERLINK("https://www.google.com/maps/search/?api=1&amp;query=23.99497307,47.11063522", "View Map")</f>
        <v>View Map</v>
      </c>
    </row>
    <row r="90" spans="1:7" x14ac:dyDescent="0.3">
      <c r="A90" t="s">
        <v>3162</v>
      </c>
      <c r="B90" t="s">
        <v>3163</v>
      </c>
      <c r="C90" t="s">
        <v>2999</v>
      </c>
      <c r="D90" t="s">
        <v>10</v>
      </c>
      <c r="E90">
        <v>729</v>
      </c>
      <c r="F90" t="b">
        <v>1</v>
      </c>
      <c r="G90" t="str">
        <f>HYPERLINK("https://www.google.com/maps/search/?api=1&amp;query=24.21256254,47.19673791", "View Map")</f>
        <v>View Map</v>
      </c>
    </row>
    <row r="91" spans="1:7" x14ac:dyDescent="0.3">
      <c r="A91" t="s">
        <v>3164</v>
      </c>
      <c r="B91" t="s">
        <v>3165</v>
      </c>
      <c r="C91" t="s">
        <v>3077</v>
      </c>
      <c r="D91" t="s">
        <v>10</v>
      </c>
      <c r="E91">
        <v>716</v>
      </c>
      <c r="F91" t="b">
        <v>1</v>
      </c>
      <c r="G91" t="str">
        <f>HYPERLINK("https://www.google.com/maps/search/?api=1&amp;query=20.4596098,45.5763322", "View Map")</f>
        <v>View Map</v>
      </c>
    </row>
    <row r="92" spans="1:7" x14ac:dyDescent="0.3">
      <c r="A92" t="s">
        <v>1370</v>
      </c>
      <c r="B92" t="s">
        <v>3166</v>
      </c>
      <c r="C92" t="s">
        <v>3002</v>
      </c>
      <c r="D92" t="s">
        <v>154</v>
      </c>
      <c r="E92">
        <v>712</v>
      </c>
      <c r="F92" t="b">
        <v>1</v>
      </c>
      <c r="G92" t="str">
        <f>HYPERLINK("https://www.google.com/maps/search/?api=1&amp;query=20.43509642,44.87205832", "View Map")</f>
        <v>View Map</v>
      </c>
    </row>
    <row r="93" spans="1:7" x14ac:dyDescent="0.3">
      <c r="A93" t="s">
        <v>1370</v>
      </c>
      <c r="B93" t="s">
        <v>3167</v>
      </c>
      <c r="C93" t="s">
        <v>3002</v>
      </c>
      <c r="D93" t="s">
        <v>154</v>
      </c>
      <c r="E93">
        <v>705</v>
      </c>
      <c r="F93" t="b">
        <v>1</v>
      </c>
      <c r="G93" t="str">
        <f>HYPERLINK("https://www.google.com/maps/search/?api=1&amp;query=20.4521667,44.77183392", "View Map")</f>
        <v>View Map</v>
      </c>
    </row>
    <row r="94" spans="1:7" x14ac:dyDescent="0.3">
      <c r="A94" t="s">
        <v>1370</v>
      </c>
      <c r="B94" t="s">
        <v>3168</v>
      </c>
      <c r="C94" t="s">
        <v>3002</v>
      </c>
      <c r="D94" t="s">
        <v>10</v>
      </c>
      <c r="E94">
        <v>703</v>
      </c>
      <c r="F94" t="b">
        <v>1</v>
      </c>
      <c r="G94" t="str">
        <f>HYPERLINK("https://www.google.com/maps/search/?api=1&amp;query=20.43189677,44.88776996", "View Map")</f>
        <v>View Map</v>
      </c>
    </row>
    <row r="95" spans="1:7" x14ac:dyDescent="0.3">
      <c r="A95" t="s">
        <v>3169</v>
      </c>
      <c r="B95" t="s">
        <v>3170</v>
      </c>
      <c r="C95" t="s">
        <v>3077</v>
      </c>
      <c r="D95" t="s">
        <v>10</v>
      </c>
      <c r="E95">
        <v>702</v>
      </c>
      <c r="F95" t="b">
        <v>1</v>
      </c>
      <c r="G95" t="str">
        <f>HYPERLINK("https://www.google.com/maps/search/?api=1&amp;query=20.45358144,45.57432812", "View Map")</f>
        <v>View Map</v>
      </c>
    </row>
    <row r="96" spans="1:7" x14ac:dyDescent="0.3">
      <c r="A96" t="s">
        <v>3171</v>
      </c>
      <c r="B96" t="s">
        <v>3172</v>
      </c>
      <c r="C96" t="s">
        <v>2999</v>
      </c>
      <c r="D96" t="s">
        <v>10</v>
      </c>
      <c r="E96">
        <v>687</v>
      </c>
      <c r="F96" t="b">
        <v>1</v>
      </c>
      <c r="G96" t="str">
        <f>HYPERLINK("https://www.google.com/maps/search/?api=1&amp;query=24.15396657,47.32782008", "View Map")</f>
        <v>View Map</v>
      </c>
    </row>
    <row r="97" spans="1:7" x14ac:dyDescent="0.3">
      <c r="A97" t="s">
        <v>1370</v>
      </c>
      <c r="B97" t="s">
        <v>3173</v>
      </c>
      <c r="C97" t="s">
        <v>3002</v>
      </c>
      <c r="D97" t="s">
        <v>154</v>
      </c>
      <c r="E97">
        <v>684</v>
      </c>
      <c r="F97" t="b">
        <v>1</v>
      </c>
      <c r="G97" t="str">
        <f>HYPERLINK("https://www.google.com/maps/search/?api=1&amp;query=20.47812639,44.79162144", "View Map")</f>
        <v>View Map</v>
      </c>
    </row>
    <row r="98" spans="1:7" x14ac:dyDescent="0.3">
      <c r="A98" t="s">
        <v>3174</v>
      </c>
      <c r="B98" t="s">
        <v>3175</v>
      </c>
      <c r="C98" t="s">
        <v>3023</v>
      </c>
      <c r="D98" t="s">
        <v>10</v>
      </c>
      <c r="E98">
        <v>683</v>
      </c>
      <c r="F98" t="b">
        <v>0</v>
      </c>
      <c r="G98" t="str">
        <f>HYPERLINK("https://www.google.com/maps/search/?api=1&amp;query=23.49045484,46.87013943", "View Map")</f>
        <v>View Map</v>
      </c>
    </row>
    <row r="99" spans="1:7" x14ac:dyDescent="0.3">
      <c r="A99" t="s">
        <v>3176</v>
      </c>
      <c r="B99" t="s">
        <v>3177</v>
      </c>
      <c r="C99" t="s">
        <v>3002</v>
      </c>
      <c r="D99" t="s">
        <v>10</v>
      </c>
      <c r="E99">
        <v>675</v>
      </c>
      <c r="F99" t="b">
        <v>0</v>
      </c>
      <c r="G99" t="str">
        <f>HYPERLINK("https://www.google.com/maps/search/?api=1&amp;query=20.46356177,44.78095887", "View Map")</f>
        <v>View Map</v>
      </c>
    </row>
    <row r="100" spans="1:7" x14ac:dyDescent="0.3">
      <c r="A100" t="s">
        <v>3178</v>
      </c>
      <c r="B100" t="s">
        <v>3179</v>
      </c>
      <c r="C100" t="s">
        <v>3023</v>
      </c>
      <c r="D100" t="s">
        <v>10</v>
      </c>
      <c r="E100">
        <v>673</v>
      </c>
      <c r="F100" t="b">
        <v>0</v>
      </c>
      <c r="G100" t="str">
        <f>HYPERLINK("https://www.google.com/maps/search/?api=1&amp;query=23.48690881,46.84985787", "View Map")</f>
        <v>View Map</v>
      </c>
    </row>
    <row r="101" spans="1:7" x14ac:dyDescent="0.3">
      <c r="A101" t="s">
        <v>3180</v>
      </c>
      <c r="B101" t="s">
        <v>3181</v>
      </c>
      <c r="C101" t="s">
        <v>3028</v>
      </c>
      <c r="D101" t="s">
        <v>10</v>
      </c>
      <c r="E101">
        <v>663</v>
      </c>
      <c r="F101" t="b">
        <v>0</v>
      </c>
      <c r="G101" t="str">
        <f>HYPERLINK("https://www.google.com/maps/search/?api=1&amp;query=23.98233346,47.13183531", "View Map")</f>
        <v>View Map</v>
      </c>
    </row>
    <row r="102" spans="1:7" x14ac:dyDescent="0.3">
      <c r="A102" t="s">
        <v>3182</v>
      </c>
      <c r="B102" t="s">
        <v>3183</v>
      </c>
      <c r="C102" t="s">
        <v>3028</v>
      </c>
      <c r="D102" t="s">
        <v>10</v>
      </c>
      <c r="E102">
        <v>616</v>
      </c>
      <c r="F102" t="b">
        <v>0</v>
      </c>
      <c r="G102" t="str">
        <f>HYPERLINK("https://www.google.com/maps/search/?api=1&amp;query=23.98436788,47.16662397", "View Map")</f>
        <v>View Map</v>
      </c>
    </row>
    <row r="103" spans="1:7" x14ac:dyDescent="0.3">
      <c r="A103" t="s">
        <v>3184</v>
      </c>
      <c r="B103" t="s">
        <v>3185</v>
      </c>
      <c r="C103" t="s">
        <v>2999</v>
      </c>
      <c r="D103" t="s">
        <v>154</v>
      </c>
      <c r="E103">
        <v>614</v>
      </c>
      <c r="F103" t="b">
        <v>1</v>
      </c>
      <c r="G103" t="str">
        <f>HYPERLINK("https://www.google.com/maps/search/?api=1&amp;query=24.01598441,47.34436856", "View Map")</f>
        <v>View Map</v>
      </c>
    </row>
    <row r="104" spans="1:7" x14ac:dyDescent="0.3">
      <c r="A104" t="s">
        <v>3186</v>
      </c>
      <c r="B104" t="s">
        <v>3187</v>
      </c>
      <c r="C104" t="s">
        <v>2999</v>
      </c>
      <c r="D104" t="s">
        <v>154</v>
      </c>
      <c r="E104">
        <v>608</v>
      </c>
      <c r="F104" t="b">
        <v>1</v>
      </c>
      <c r="G104" t="str">
        <f>HYPERLINK("https://www.google.com/maps/search/?api=1&amp;query=24.13739516,47.35707489", "View Map")</f>
        <v>View Map</v>
      </c>
    </row>
    <row r="105" spans="1:7" x14ac:dyDescent="0.3">
      <c r="A105" t="s">
        <v>3188</v>
      </c>
      <c r="B105" t="s">
        <v>3189</v>
      </c>
      <c r="C105" t="s">
        <v>2999</v>
      </c>
      <c r="D105" t="s">
        <v>154</v>
      </c>
      <c r="E105">
        <v>603</v>
      </c>
      <c r="F105" t="b">
        <v>1</v>
      </c>
      <c r="G105" t="str">
        <f>HYPERLINK("https://www.google.com/maps/search/?api=1&amp;query=24.10705342,47.29107782", "View Map")</f>
        <v>View Map</v>
      </c>
    </row>
    <row r="106" spans="1:7" x14ac:dyDescent="0.3">
      <c r="A106" t="s">
        <v>1578</v>
      </c>
      <c r="B106" t="s">
        <v>3190</v>
      </c>
      <c r="C106" t="s">
        <v>2999</v>
      </c>
      <c r="D106" t="s">
        <v>154</v>
      </c>
      <c r="E106">
        <v>603</v>
      </c>
      <c r="F106" t="b">
        <v>1</v>
      </c>
      <c r="G106" t="str">
        <f>HYPERLINK("https://www.google.com/maps/search/?api=1&amp;query=24.0945035,47.27503035", "View Map")</f>
        <v>View Map</v>
      </c>
    </row>
    <row r="107" spans="1:7" x14ac:dyDescent="0.3">
      <c r="A107" t="s">
        <v>3191</v>
      </c>
      <c r="B107" t="s">
        <v>3192</v>
      </c>
      <c r="C107" t="s">
        <v>3002</v>
      </c>
      <c r="D107" t="s">
        <v>154</v>
      </c>
      <c r="E107">
        <v>596</v>
      </c>
      <c r="F107" t="b">
        <v>1</v>
      </c>
      <c r="G107" t="str">
        <f>HYPERLINK("https://www.google.com/maps/search/?api=1&amp;query=20.48200068,44.77792373", "View Map")</f>
        <v>View Map</v>
      </c>
    </row>
    <row r="108" spans="1:7" x14ac:dyDescent="0.3">
      <c r="A108" t="s">
        <v>1578</v>
      </c>
      <c r="B108" t="s">
        <v>3193</v>
      </c>
      <c r="C108" t="s">
        <v>2999</v>
      </c>
      <c r="D108" t="s">
        <v>154</v>
      </c>
      <c r="E108">
        <v>589</v>
      </c>
      <c r="F108" t="b">
        <v>0</v>
      </c>
      <c r="G108" t="str">
        <f>HYPERLINK("https://www.google.com/maps/search/?api=1&amp;query=24.15939421,47.26748192", "View Map")</f>
        <v>View Map</v>
      </c>
    </row>
    <row r="109" spans="1:7" x14ac:dyDescent="0.3">
      <c r="A109" t="s">
        <v>3122</v>
      </c>
      <c r="B109" t="s">
        <v>3194</v>
      </c>
      <c r="C109" t="s">
        <v>3023</v>
      </c>
      <c r="D109" t="s">
        <v>154</v>
      </c>
      <c r="E109">
        <v>572</v>
      </c>
      <c r="F109" t="b">
        <v>1</v>
      </c>
      <c r="G109" t="str">
        <f>HYPERLINK("https://www.google.com/maps/search/?api=1&amp;query=23.49517311,46.88341394", "View Map")</f>
        <v>View Map</v>
      </c>
    </row>
    <row r="110" spans="1:7" x14ac:dyDescent="0.3">
      <c r="A110" t="s">
        <v>3195</v>
      </c>
      <c r="B110" t="s">
        <v>3196</v>
      </c>
      <c r="C110" t="s">
        <v>2999</v>
      </c>
      <c r="D110" t="s">
        <v>154</v>
      </c>
      <c r="E110">
        <v>564</v>
      </c>
      <c r="F110" t="b">
        <v>1</v>
      </c>
      <c r="G110" t="str">
        <f>HYPERLINK("https://www.google.com/maps/search/?api=1&amp;query=24.16184041,47.2302534", "View Map")</f>
        <v>View Map</v>
      </c>
    </row>
    <row r="111" spans="1:7" x14ac:dyDescent="0.3">
      <c r="A111" t="s">
        <v>3099</v>
      </c>
      <c r="B111" t="s">
        <v>3197</v>
      </c>
      <c r="C111" t="s">
        <v>3002</v>
      </c>
      <c r="D111" t="s">
        <v>154</v>
      </c>
      <c r="E111">
        <v>559</v>
      </c>
      <c r="F111" t="b">
        <v>1</v>
      </c>
      <c r="G111" t="str">
        <f>HYPERLINK("https://www.google.com/maps/search/?api=1&amp;query=20.39772942,44.86977546", "View Map")</f>
        <v>View Map</v>
      </c>
    </row>
    <row r="112" spans="1:7" x14ac:dyDescent="0.3">
      <c r="A112" t="s">
        <v>3198</v>
      </c>
      <c r="B112" t="s">
        <v>3199</v>
      </c>
      <c r="C112" t="s">
        <v>2999</v>
      </c>
      <c r="D112" t="s">
        <v>154</v>
      </c>
      <c r="E112">
        <v>544</v>
      </c>
      <c r="F112" t="b">
        <v>1</v>
      </c>
      <c r="G112" t="str">
        <f>HYPERLINK("https://www.google.com/maps/search/?api=1&amp;query=24.117,47.939", "View Map")</f>
        <v>View Map</v>
      </c>
    </row>
    <row r="113" spans="1:7" x14ac:dyDescent="0.3">
      <c r="A113" t="s">
        <v>1578</v>
      </c>
      <c r="B113" t="s">
        <v>3200</v>
      </c>
      <c r="C113" t="s">
        <v>2999</v>
      </c>
      <c r="D113" t="s">
        <v>154</v>
      </c>
      <c r="E113">
        <v>542</v>
      </c>
      <c r="F113" t="b">
        <v>1</v>
      </c>
      <c r="G113" t="str">
        <f>HYPERLINK("https://www.google.com/maps/search/?api=1&amp;query=24.16656676,47.25437701", "View Map")</f>
        <v>View Map</v>
      </c>
    </row>
    <row r="114" spans="1:7" x14ac:dyDescent="0.3">
      <c r="A114" t="s">
        <v>3201</v>
      </c>
      <c r="B114" t="s">
        <v>3202</v>
      </c>
      <c r="C114" t="s">
        <v>2999</v>
      </c>
      <c r="D114" t="s">
        <v>154</v>
      </c>
      <c r="E114">
        <v>542</v>
      </c>
      <c r="F114" t="b">
        <v>1</v>
      </c>
      <c r="G114" t="str">
        <f>HYPERLINK("https://www.google.com/maps/search/?api=1&amp;query=24.17014976,47.29544756", "View Map")</f>
        <v>View Map</v>
      </c>
    </row>
    <row r="115" spans="1:7" x14ac:dyDescent="0.3">
      <c r="A115" t="s">
        <v>3203</v>
      </c>
      <c r="B115" t="s">
        <v>3204</v>
      </c>
      <c r="C115" t="s">
        <v>2999</v>
      </c>
      <c r="D115" t="s">
        <v>154</v>
      </c>
      <c r="E115">
        <v>539</v>
      </c>
      <c r="F115" t="b">
        <v>1</v>
      </c>
      <c r="G115" t="str">
        <f>HYPERLINK("https://www.google.com/maps/search/?api=1&amp;query=24.20754629,47.27379691", "View Map")</f>
        <v>View Map</v>
      </c>
    </row>
    <row r="116" spans="1:7" x14ac:dyDescent="0.3">
      <c r="A116" t="s">
        <v>3205</v>
      </c>
      <c r="B116" t="s">
        <v>3206</v>
      </c>
      <c r="C116" t="s">
        <v>2999</v>
      </c>
      <c r="D116" t="s">
        <v>154</v>
      </c>
      <c r="E116">
        <v>531</v>
      </c>
      <c r="F116" t="b">
        <v>1</v>
      </c>
      <c r="G116" t="str">
        <f>HYPERLINK("https://www.google.com/maps/search/?api=1&amp;query=24.15717094,47.32261224", "View Map")</f>
        <v>View Map</v>
      </c>
    </row>
    <row r="117" spans="1:7" x14ac:dyDescent="0.3">
      <c r="A117" t="s">
        <v>3207</v>
      </c>
      <c r="B117" t="s">
        <v>3208</v>
      </c>
      <c r="C117" t="s">
        <v>2999</v>
      </c>
      <c r="D117" t="s">
        <v>154</v>
      </c>
      <c r="E117">
        <v>516</v>
      </c>
      <c r="F117" t="b">
        <v>1</v>
      </c>
      <c r="G117" t="str">
        <f>HYPERLINK("https://www.google.com/maps/search/?api=1&amp;query=24.15481778,47.30828879", "View Map")</f>
        <v>View Map</v>
      </c>
    </row>
    <row r="118" spans="1:7" x14ac:dyDescent="0.3">
      <c r="A118" t="s">
        <v>3209</v>
      </c>
      <c r="B118" t="s">
        <v>3210</v>
      </c>
      <c r="C118" t="s">
        <v>3077</v>
      </c>
      <c r="D118" t="s">
        <v>154</v>
      </c>
      <c r="E118">
        <v>512</v>
      </c>
      <c r="F118" t="b">
        <v>1</v>
      </c>
      <c r="G118" t="str">
        <f>HYPERLINK("https://www.google.com/maps/search/?api=1&amp;query=20.4641214,45.57750053", "View Map")</f>
        <v>View Map</v>
      </c>
    </row>
    <row r="119" spans="1:7" x14ac:dyDescent="0.3">
      <c r="A119" t="s">
        <v>3211</v>
      </c>
      <c r="B119" t="s">
        <v>3212</v>
      </c>
      <c r="C119" t="s">
        <v>3028</v>
      </c>
      <c r="D119" t="s">
        <v>154</v>
      </c>
      <c r="E119">
        <v>511</v>
      </c>
      <c r="F119" t="b">
        <v>1</v>
      </c>
      <c r="G119" t="str">
        <f>HYPERLINK("https://www.google.com/maps/search/?api=1&amp;query=23.98965598,47.11856822", "View Map")</f>
        <v>View Map</v>
      </c>
    </row>
    <row r="120" spans="1:7" x14ac:dyDescent="0.3">
      <c r="A120" t="s">
        <v>3213</v>
      </c>
      <c r="B120" t="s">
        <v>3214</v>
      </c>
      <c r="C120" t="s">
        <v>3077</v>
      </c>
      <c r="D120" t="s">
        <v>154</v>
      </c>
      <c r="E120">
        <v>511</v>
      </c>
      <c r="F120" t="b">
        <v>0</v>
      </c>
      <c r="G120" t="str">
        <f>HYPERLINK("https://www.google.com/maps/search/?api=1&amp;query=20.43446646,45.58760989", "View Map")</f>
        <v>View Map</v>
      </c>
    </row>
    <row r="121" spans="1:7" x14ac:dyDescent="0.3">
      <c r="A121" t="s">
        <v>3215</v>
      </c>
      <c r="B121" t="s">
        <v>3216</v>
      </c>
      <c r="C121" t="s">
        <v>3007</v>
      </c>
      <c r="D121" t="s">
        <v>154</v>
      </c>
      <c r="E121">
        <v>510</v>
      </c>
      <c r="F121" t="b">
        <v>1</v>
      </c>
      <c r="G121" t="str">
        <f>HYPERLINK("https://www.google.com/maps/search/?api=1&amp;query=22.29316684,46.70657369", "View Map")</f>
        <v>View Map</v>
      </c>
    </row>
    <row r="122" spans="1:7" x14ac:dyDescent="0.3">
      <c r="A122" t="s">
        <v>3217</v>
      </c>
      <c r="B122" t="s">
        <v>3218</v>
      </c>
      <c r="C122" t="s">
        <v>3023</v>
      </c>
      <c r="D122" t="s">
        <v>154</v>
      </c>
      <c r="E122">
        <v>508</v>
      </c>
      <c r="F122" t="b">
        <v>0</v>
      </c>
      <c r="G122" t="str">
        <f>HYPERLINK("https://www.google.com/maps/search/?api=1&amp;query=23.45332115,46.80601719", "View Map")</f>
        <v>View Map</v>
      </c>
    </row>
    <row r="123" spans="1:7" x14ac:dyDescent="0.3">
      <c r="A123" t="s">
        <v>3219</v>
      </c>
      <c r="B123" t="s">
        <v>3220</v>
      </c>
      <c r="C123" t="s">
        <v>3002</v>
      </c>
      <c r="D123" t="s">
        <v>154</v>
      </c>
      <c r="E123">
        <v>507</v>
      </c>
      <c r="F123" t="b">
        <v>1</v>
      </c>
      <c r="G123" t="str">
        <f>HYPERLINK("https://www.google.com/maps/search/?api=1&amp;query=20.44952346,44.85353691", "View Map")</f>
        <v>View Map</v>
      </c>
    </row>
    <row r="124" spans="1:7" x14ac:dyDescent="0.3">
      <c r="A124" t="s">
        <v>3221</v>
      </c>
      <c r="B124" t="s">
        <v>3222</v>
      </c>
      <c r="C124" t="s">
        <v>2999</v>
      </c>
      <c r="D124" t="s">
        <v>154</v>
      </c>
      <c r="E124">
        <v>507</v>
      </c>
      <c r="F124" t="b">
        <v>1</v>
      </c>
      <c r="G124" t="str">
        <f>HYPERLINK("https://www.google.com/maps/search/?api=1&amp;query=24.15933706,47.30571765", "View Map")</f>
        <v>View Map</v>
      </c>
    </row>
    <row r="125" spans="1:7" x14ac:dyDescent="0.3">
      <c r="A125" t="s">
        <v>3223</v>
      </c>
      <c r="B125" t="s">
        <v>3224</v>
      </c>
      <c r="C125" t="s">
        <v>2999</v>
      </c>
      <c r="D125" t="s">
        <v>154</v>
      </c>
      <c r="E125">
        <v>505</v>
      </c>
      <c r="F125" t="b">
        <v>1</v>
      </c>
      <c r="G125" t="str">
        <f>HYPERLINK("https://www.google.com/maps/search/?api=1&amp;query=24.15082311,47.30488547", "View Map")</f>
        <v>View Map</v>
      </c>
    </row>
    <row r="126" spans="1:7" x14ac:dyDescent="0.3">
      <c r="A126" t="s">
        <v>3225</v>
      </c>
      <c r="B126" t="s">
        <v>3226</v>
      </c>
      <c r="C126" t="s">
        <v>3002</v>
      </c>
      <c r="D126" t="s">
        <v>154</v>
      </c>
      <c r="E126">
        <v>503</v>
      </c>
      <c r="F126" t="b">
        <v>1</v>
      </c>
      <c r="G126" t="str">
        <f>HYPERLINK("https://www.google.com/maps/search/?api=1&amp;query=20.44883153,44.70033684", "View Map")</f>
        <v>View Map</v>
      </c>
    </row>
    <row r="127" spans="1:7" x14ac:dyDescent="0.3">
      <c r="A127" t="s">
        <v>3227</v>
      </c>
      <c r="B127" t="s">
        <v>3228</v>
      </c>
      <c r="C127" t="s">
        <v>3002</v>
      </c>
      <c r="D127" t="s">
        <v>154</v>
      </c>
      <c r="E127">
        <v>501</v>
      </c>
      <c r="F127" t="b">
        <v>1</v>
      </c>
      <c r="G127" t="str">
        <f>HYPERLINK("https://www.google.com/maps/search/?api=1&amp;query=20.43862471,44.77779391", "View Map")</f>
        <v>View Map</v>
      </c>
    </row>
    <row r="128" spans="1:7" x14ac:dyDescent="0.3">
      <c r="A128" t="s">
        <v>3229</v>
      </c>
      <c r="B128" t="s">
        <v>3230</v>
      </c>
      <c r="C128" t="s">
        <v>3028</v>
      </c>
      <c r="D128" t="s">
        <v>154</v>
      </c>
      <c r="E128">
        <v>501</v>
      </c>
      <c r="F128" t="b">
        <v>1</v>
      </c>
      <c r="G128" t="str">
        <f>HYPERLINK("https://www.google.com/maps/search/?api=1&amp;query=23.87348281,47.04516669", "View Map")</f>
        <v>View Map</v>
      </c>
    </row>
    <row r="129" spans="1:7" x14ac:dyDescent="0.3">
      <c r="A129" t="s">
        <v>3231</v>
      </c>
      <c r="B129" t="s">
        <v>3232</v>
      </c>
      <c r="C129" t="s">
        <v>3028</v>
      </c>
      <c r="D129" t="s">
        <v>154</v>
      </c>
      <c r="E129">
        <v>501</v>
      </c>
      <c r="F129" t="b">
        <v>1</v>
      </c>
      <c r="G129" t="str">
        <f>HYPERLINK("https://www.google.com/maps/search/?api=1&amp;query=23.99395062,47.1600723", "View Map")</f>
        <v>View Map</v>
      </c>
    </row>
    <row r="130" spans="1:7" x14ac:dyDescent="0.3">
      <c r="A130" t="s">
        <v>1370</v>
      </c>
      <c r="B130" t="s">
        <v>3233</v>
      </c>
      <c r="C130" t="s">
        <v>3002</v>
      </c>
      <c r="D130" t="s">
        <v>10</v>
      </c>
      <c r="E130">
        <v>491</v>
      </c>
      <c r="F130" t="b">
        <v>1</v>
      </c>
      <c r="G130" t="str">
        <f>HYPERLINK("https://www.google.com/maps/search/?api=1&amp;query=20.44729749,44.78795038", "View Map")</f>
        <v>View Map</v>
      </c>
    </row>
    <row r="131" spans="1:7" x14ac:dyDescent="0.3">
      <c r="A131" t="s">
        <v>3234</v>
      </c>
      <c r="B131" t="s">
        <v>3235</v>
      </c>
      <c r="C131" t="s">
        <v>2999</v>
      </c>
      <c r="D131" t="s">
        <v>154</v>
      </c>
      <c r="E131">
        <v>484</v>
      </c>
      <c r="F131" t="b">
        <v>1</v>
      </c>
      <c r="G131" t="str">
        <f>HYPERLINK("https://www.google.com/maps/search/?api=1&amp;query=24.14770578,47.29898537", "View Map")</f>
        <v>View Map</v>
      </c>
    </row>
    <row r="132" spans="1:7" x14ac:dyDescent="0.3">
      <c r="A132" t="s">
        <v>3236</v>
      </c>
      <c r="B132" t="s">
        <v>3237</v>
      </c>
      <c r="C132" t="s">
        <v>2999</v>
      </c>
      <c r="D132" t="s">
        <v>154</v>
      </c>
      <c r="E132">
        <v>475</v>
      </c>
      <c r="F132" t="b">
        <v>1</v>
      </c>
      <c r="G132" t="str">
        <f>HYPERLINK("https://www.google.com/maps/search/?api=1&amp;query=24.19140582,47.37868133", "View Map")</f>
        <v>View Map</v>
      </c>
    </row>
    <row r="133" spans="1:7" x14ac:dyDescent="0.3">
      <c r="A133" t="s">
        <v>3099</v>
      </c>
      <c r="B133" t="s">
        <v>3238</v>
      </c>
      <c r="C133" t="s">
        <v>3002</v>
      </c>
      <c r="D133" t="s">
        <v>154</v>
      </c>
      <c r="E133">
        <v>468</v>
      </c>
      <c r="F133" t="b">
        <v>1</v>
      </c>
      <c r="G133" t="str">
        <f>HYPERLINK("https://www.google.com/maps/search/?api=1&amp;query=20.43414579,44.87712767", "View Map")</f>
        <v>View Map</v>
      </c>
    </row>
    <row r="134" spans="1:7" x14ac:dyDescent="0.3">
      <c r="A134" t="s">
        <v>3239</v>
      </c>
      <c r="B134" t="s">
        <v>3240</v>
      </c>
      <c r="C134" t="s">
        <v>3002</v>
      </c>
      <c r="D134" t="s">
        <v>154</v>
      </c>
      <c r="E134">
        <v>467</v>
      </c>
      <c r="F134" t="b">
        <v>1</v>
      </c>
      <c r="G134" t="str">
        <f>HYPERLINK("https://www.google.com/maps/search/?api=1&amp;query=20.44635123,44.82191721", "View Map")</f>
        <v>View Map</v>
      </c>
    </row>
    <row r="135" spans="1:7" x14ac:dyDescent="0.3">
      <c r="A135" t="s">
        <v>3241</v>
      </c>
      <c r="B135" t="s">
        <v>3242</v>
      </c>
      <c r="C135" t="s">
        <v>3002</v>
      </c>
      <c r="D135" t="s">
        <v>154</v>
      </c>
      <c r="E135">
        <v>462</v>
      </c>
      <c r="F135" t="b">
        <v>1</v>
      </c>
      <c r="G135" t="str">
        <f>HYPERLINK("https://www.google.com/maps/search/?api=1&amp;query=20.43785733,44.77984414", "View Map")</f>
        <v>View Map</v>
      </c>
    </row>
    <row r="136" spans="1:7" x14ac:dyDescent="0.3">
      <c r="A136" t="s">
        <v>2042</v>
      </c>
      <c r="B136" t="s">
        <v>3243</v>
      </c>
      <c r="C136" t="s">
        <v>2999</v>
      </c>
      <c r="D136" t="s">
        <v>154</v>
      </c>
      <c r="E136">
        <v>458</v>
      </c>
      <c r="F136" t="b">
        <v>1</v>
      </c>
      <c r="G136" t="str">
        <f>HYPERLINK("https://www.google.com/maps/search/?api=1&amp;query=24.13698984,47.2831484", "View Map")</f>
        <v>View Map</v>
      </c>
    </row>
    <row r="137" spans="1:7" x14ac:dyDescent="0.3">
      <c r="A137" t="s">
        <v>1578</v>
      </c>
      <c r="B137" t="s">
        <v>3244</v>
      </c>
      <c r="C137" t="s">
        <v>2999</v>
      </c>
      <c r="D137" t="s">
        <v>154</v>
      </c>
      <c r="E137">
        <v>454</v>
      </c>
      <c r="F137" t="b">
        <v>0</v>
      </c>
      <c r="G137" t="str">
        <f>HYPERLINK("https://www.google.com/maps/search/?api=1&amp;query=24.10752162,47.27322458", "View Map")</f>
        <v>View Map</v>
      </c>
    </row>
    <row r="138" spans="1:7" x14ac:dyDescent="0.3">
      <c r="A138" t="s">
        <v>1370</v>
      </c>
      <c r="B138" t="s">
        <v>3245</v>
      </c>
      <c r="C138" t="s">
        <v>3002</v>
      </c>
      <c r="D138" t="s">
        <v>1715</v>
      </c>
      <c r="E138">
        <v>452</v>
      </c>
      <c r="F138" t="b">
        <v>1</v>
      </c>
      <c r="G138" t="str">
        <f>HYPERLINK("https://www.google.com/maps/search/?api=1&amp;query=20.41526815,45.12309383", "View Map")</f>
        <v>View Map</v>
      </c>
    </row>
    <row r="139" spans="1:7" x14ac:dyDescent="0.3">
      <c r="A139" t="s">
        <v>1370</v>
      </c>
      <c r="B139" t="s">
        <v>3246</v>
      </c>
      <c r="C139" t="s">
        <v>3002</v>
      </c>
      <c r="D139" t="s">
        <v>154</v>
      </c>
      <c r="E139">
        <v>451</v>
      </c>
      <c r="F139" t="b">
        <v>1</v>
      </c>
      <c r="G139" t="str">
        <f>HYPERLINK("https://www.google.com/maps/search/?api=1&amp;query=20.42068501,44.87260016", "View Map")</f>
        <v>View Map</v>
      </c>
    </row>
    <row r="140" spans="1:7" x14ac:dyDescent="0.3">
      <c r="A140" t="s">
        <v>3247</v>
      </c>
      <c r="B140" t="s">
        <v>3248</v>
      </c>
      <c r="C140" t="s">
        <v>3028</v>
      </c>
      <c r="D140" t="s">
        <v>154</v>
      </c>
      <c r="E140">
        <v>451</v>
      </c>
      <c r="F140" t="b">
        <v>1</v>
      </c>
      <c r="G140" t="str">
        <f>HYPERLINK("https://www.google.com/maps/search/?api=1&amp;query=24.00022086,47.11608889", "View Map")</f>
        <v>View Map</v>
      </c>
    </row>
    <row r="141" spans="1:7" x14ac:dyDescent="0.3">
      <c r="A141" t="s">
        <v>3249</v>
      </c>
      <c r="B141" t="s">
        <v>3250</v>
      </c>
      <c r="C141" t="s">
        <v>2999</v>
      </c>
      <c r="D141" t="s">
        <v>154</v>
      </c>
      <c r="E141">
        <v>449</v>
      </c>
      <c r="F141" t="b">
        <v>1</v>
      </c>
      <c r="G141" t="str">
        <f>HYPERLINK("https://www.google.com/maps/search/?api=1&amp;query=24.1753,47.2878", "View Map")</f>
        <v>View Map</v>
      </c>
    </row>
    <row r="142" spans="1:7" x14ac:dyDescent="0.3">
      <c r="A142" t="s">
        <v>3251</v>
      </c>
      <c r="B142" t="s">
        <v>3252</v>
      </c>
      <c r="C142" t="s">
        <v>2999</v>
      </c>
      <c r="D142" t="s">
        <v>154</v>
      </c>
      <c r="E142">
        <v>449</v>
      </c>
      <c r="F142" t="b">
        <v>1</v>
      </c>
      <c r="G142" t="str">
        <f>HYPERLINK("https://www.google.com/maps/search/?api=1&amp;query=24.12779657,47.35800702", "View Map")</f>
        <v>View Map</v>
      </c>
    </row>
    <row r="143" spans="1:7" x14ac:dyDescent="0.3">
      <c r="A143" t="s">
        <v>1578</v>
      </c>
      <c r="B143" t="s">
        <v>3253</v>
      </c>
      <c r="C143" t="s">
        <v>2999</v>
      </c>
      <c r="D143" t="s">
        <v>154</v>
      </c>
      <c r="E143">
        <v>448</v>
      </c>
      <c r="F143" t="b">
        <v>1</v>
      </c>
      <c r="G143" t="str">
        <f>HYPERLINK("https://www.google.com/maps/search/?api=1&amp;query=24.09442,47.27492", "View Map")</f>
        <v>View Map</v>
      </c>
    </row>
    <row r="144" spans="1:7" x14ac:dyDescent="0.3">
      <c r="A144" t="s">
        <v>1578</v>
      </c>
      <c r="B144" t="s">
        <v>3254</v>
      </c>
      <c r="C144" t="s">
        <v>2999</v>
      </c>
      <c r="D144" t="s">
        <v>154</v>
      </c>
      <c r="E144">
        <v>442</v>
      </c>
      <c r="F144" t="b">
        <v>1</v>
      </c>
      <c r="G144" t="str">
        <f>HYPERLINK("https://www.google.com/maps/search/?api=1&amp;query=24.17282968,47.34624853", "View Map")</f>
        <v>View Map</v>
      </c>
    </row>
    <row r="145" spans="1:7" x14ac:dyDescent="0.3">
      <c r="A145" t="s">
        <v>3255</v>
      </c>
      <c r="B145" t="s">
        <v>3256</v>
      </c>
      <c r="C145" t="s">
        <v>3023</v>
      </c>
      <c r="D145" t="s">
        <v>154</v>
      </c>
      <c r="E145">
        <v>439</v>
      </c>
      <c r="F145" t="b">
        <v>1</v>
      </c>
      <c r="G145" t="str">
        <f>HYPERLINK("https://www.google.com/maps/search/?api=1&amp;query=23.50046849,46.83218681", "View Map")</f>
        <v>View Map</v>
      </c>
    </row>
    <row r="146" spans="1:7" x14ac:dyDescent="0.3">
      <c r="A146" t="s">
        <v>3044</v>
      </c>
      <c r="B146" t="s">
        <v>3257</v>
      </c>
      <c r="C146" t="s">
        <v>3007</v>
      </c>
      <c r="D146" t="s">
        <v>154</v>
      </c>
      <c r="E146">
        <v>435</v>
      </c>
      <c r="F146" t="b">
        <v>1</v>
      </c>
      <c r="G146" t="str">
        <f>HYPERLINK("https://www.google.com/maps/search/?api=1&amp;query=22.33045045,46.7136788", "View Map")</f>
        <v>View Map</v>
      </c>
    </row>
    <row r="147" spans="1:7" x14ac:dyDescent="0.3">
      <c r="A147" t="s">
        <v>3258</v>
      </c>
      <c r="B147" t="s">
        <v>3259</v>
      </c>
      <c r="C147" t="s">
        <v>3028</v>
      </c>
      <c r="D147" t="s">
        <v>154</v>
      </c>
      <c r="E147">
        <v>432</v>
      </c>
      <c r="F147" t="b">
        <v>1</v>
      </c>
      <c r="G147" t="str">
        <f>HYPERLINK("https://www.google.com/maps/search/?api=1&amp;query=24.00250207,47.12028381", "View Map")</f>
        <v>View Map</v>
      </c>
    </row>
    <row r="148" spans="1:7" x14ac:dyDescent="0.3">
      <c r="A148" t="s">
        <v>3260</v>
      </c>
      <c r="B148" t="s">
        <v>3261</v>
      </c>
      <c r="C148" t="s">
        <v>3028</v>
      </c>
      <c r="D148" t="s">
        <v>154</v>
      </c>
      <c r="E148">
        <v>432</v>
      </c>
      <c r="F148" t="b">
        <v>1</v>
      </c>
      <c r="G148" t="str">
        <f>HYPERLINK("https://www.google.com/maps/search/?api=1&amp;query=24.09989848,47.17302828", "View Map")</f>
        <v>View Map</v>
      </c>
    </row>
    <row r="149" spans="1:7" x14ac:dyDescent="0.3">
      <c r="A149" t="s">
        <v>1578</v>
      </c>
      <c r="B149" t="s">
        <v>3262</v>
      </c>
      <c r="C149" t="s">
        <v>2999</v>
      </c>
      <c r="D149" t="s">
        <v>154</v>
      </c>
      <c r="E149">
        <v>431</v>
      </c>
      <c r="F149" t="b">
        <v>0</v>
      </c>
      <c r="G149" t="str">
        <f>HYPERLINK("https://www.google.com/maps/search/?api=1&amp;query=24.09442,47.27492", "View Map")</f>
        <v>View Map</v>
      </c>
    </row>
    <row r="150" spans="1:7" x14ac:dyDescent="0.3">
      <c r="A150" t="s">
        <v>1370</v>
      </c>
      <c r="B150" t="s">
        <v>3263</v>
      </c>
      <c r="C150" t="s">
        <v>3002</v>
      </c>
      <c r="D150" t="s">
        <v>154</v>
      </c>
      <c r="E150">
        <v>429</v>
      </c>
      <c r="F150" t="b">
        <v>1</v>
      </c>
      <c r="G150" t="str">
        <f>HYPERLINK("https://www.google.com/maps/search/?api=1&amp;query=20.4503241,44.8405842", "View Map")</f>
        <v>View Map</v>
      </c>
    </row>
    <row r="151" spans="1:7" x14ac:dyDescent="0.3">
      <c r="A151" t="s">
        <v>3264</v>
      </c>
      <c r="B151" t="s">
        <v>3265</v>
      </c>
      <c r="C151" t="s">
        <v>3002</v>
      </c>
      <c r="D151" t="s">
        <v>154</v>
      </c>
      <c r="E151">
        <v>429</v>
      </c>
      <c r="F151" t="b">
        <v>1</v>
      </c>
      <c r="G151" t="str">
        <f>HYPERLINK("https://www.google.com/maps/search/?api=1&amp;query=20.38800009,44.74027198", "View Map")</f>
        <v>View Map</v>
      </c>
    </row>
    <row r="152" spans="1:7" x14ac:dyDescent="0.3">
      <c r="A152" t="s">
        <v>1370</v>
      </c>
      <c r="B152" t="s">
        <v>3266</v>
      </c>
      <c r="C152" t="s">
        <v>3077</v>
      </c>
      <c r="D152" t="s">
        <v>154</v>
      </c>
      <c r="E152">
        <v>427</v>
      </c>
      <c r="F152" t="b">
        <v>1</v>
      </c>
      <c r="G152" t="str">
        <f>HYPERLINK("https://www.google.com/maps/search/?api=1&amp;query=20.40604398,45.22935098", "View Map")</f>
        <v>View Map</v>
      </c>
    </row>
    <row r="153" spans="1:7" x14ac:dyDescent="0.3">
      <c r="A153" t="s">
        <v>3267</v>
      </c>
      <c r="B153" t="s">
        <v>3268</v>
      </c>
      <c r="C153" t="s">
        <v>2999</v>
      </c>
      <c r="D153" t="s">
        <v>154</v>
      </c>
      <c r="E153">
        <v>426</v>
      </c>
      <c r="F153" t="b">
        <v>1</v>
      </c>
      <c r="G153" t="str">
        <f>HYPERLINK("https://www.google.com/maps/search/?api=1&amp;query=24.15902645,47.30324047", "View Map")</f>
        <v>View Map</v>
      </c>
    </row>
    <row r="154" spans="1:7" x14ac:dyDescent="0.3">
      <c r="A154" t="s">
        <v>1370</v>
      </c>
      <c r="B154" t="s">
        <v>3269</v>
      </c>
      <c r="C154" t="s">
        <v>3002</v>
      </c>
      <c r="D154" t="s">
        <v>154</v>
      </c>
      <c r="E154">
        <v>425</v>
      </c>
      <c r="F154" t="b">
        <v>1</v>
      </c>
      <c r="G154" t="str">
        <f>HYPERLINK("https://www.google.com/maps/search/?api=1&amp;query=20.42512156,44.88295773", "View Map")</f>
        <v>View Map</v>
      </c>
    </row>
    <row r="155" spans="1:7" x14ac:dyDescent="0.3">
      <c r="A155" t="s">
        <v>3270</v>
      </c>
      <c r="B155" t="s">
        <v>3271</v>
      </c>
      <c r="C155" t="s">
        <v>2999</v>
      </c>
      <c r="D155" t="s">
        <v>154</v>
      </c>
      <c r="E155">
        <v>424</v>
      </c>
      <c r="F155" t="b">
        <v>0</v>
      </c>
      <c r="G155" t="str">
        <f>HYPERLINK("https://www.google.com/maps/search/?api=1&amp;query=24.14812705,47.36014304", "View Map")</f>
        <v>View Map</v>
      </c>
    </row>
    <row r="156" spans="1:7" x14ac:dyDescent="0.3">
      <c r="A156" t="s">
        <v>3272</v>
      </c>
      <c r="B156" t="s">
        <v>3273</v>
      </c>
      <c r="C156" t="s">
        <v>3002</v>
      </c>
      <c r="D156" t="s">
        <v>154</v>
      </c>
      <c r="E156">
        <v>421</v>
      </c>
      <c r="F156" t="b">
        <v>1</v>
      </c>
      <c r="G156" t="str">
        <f>HYPERLINK("https://www.google.com/maps/search/?api=1&amp;query=20.45686397,44.83638008", "View Map")</f>
        <v>View Map</v>
      </c>
    </row>
    <row r="157" spans="1:7" x14ac:dyDescent="0.3">
      <c r="A157" t="s">
        <v>3274</v>
      </c>
      <c r="B157" t="s">
        <v>3275</v>
      </c>
      <c r="C157" t="s">
        <v>3007</v>
      </c>
      <c r="D157" t="s">
        <v>154</v>
      </c>
      <c r="E157">
        <v>419</v>
      </c>
      <c r="F157" t="b">
        <v>1</v>
      </c>
      <c r="G157" t="str">
        <f>HYPERLINK("https://www.google.com/maps/search/?api=1&amp;query=22.30408799,46.71432615", "View Map")</f>
        <v>View Map</v>
      </c>
    </row>
    <row r="158" spans="1:7" x14ac:dyDescent="0.3">
      <c r="A158" t="s">
        <v>1578</v>
      </c>
      <c r="B158" t="s">
        <v>3276</v>
      </c>
      <c r="C158" t="s">
        <v>2999</v>
      </c>
      <c r="D158" t="s">
        <v>154</v>
      </c>
      <c r="E158">
        <v>417</v>
      </c>
      <c r="F158" t="b">
        <v>1</v>
      </c>
      <c r="G158" t="str">
        <f>HYPERLINK("https://www.google.com/maps/search/?api=1&amp;query=24.14918635,47.39252381", "View Map")</f>
        <v>View Map</v>
      </c>
    </row>
    <row r="159" spans="1:7" x14ac:dyDescent="0.3">
      <c r="A159" t="s">
        <v>3277</v>
      </c>
      <c r="B159" t="s">
        <v>3278</v>
      </c>
      <c r="C159" t="s">
        <v>3007</v>
      </c>
      <c r="D159" t="s">
        <v>154</v>
      </c>
      <c r="E159">
        <v>417</v>
      </c>
      <c r="F159" t="b">
        <v>0</v>
      </c>
      <c r="G159" t="str">
        <f>HYPERLINK("https://www.google.com/maps/search/?api=1&amp;query=22.01771416,46.57394471", "View Map")</f>
        <v>View Map</v>
      </c>
    </row>
    <row r="160" spans="1:7" x14ac:dyDescent="0.3">
      <c r="A160" t="s">
        <v>3279</v>
      </c>
      <c r="B160" t="s">
        <v>3280</v>
      </c>
      <c r="C160" t="s">
        <v>2999</v>
      </c>
      <c r="D160" t="s">
        <v>154</v>
      </c>
      <c r="E160">
        <v>416</v>
      </c>
      <c r="F160" t="b">
        <v>1</v>
      </c>
      <c r="G160" t="str">
        <f>HYPERLINK("https://www.google.com/maps/search/?api=1&amp;query=24.11432,47.28085", "View Map")</f>
        <v>View Map</v>
      </c>
    </row>
    <row r="161" spans="1:7" x14ac:dyDescent="0.3">
      <c r="A161" t="s">
        <v>3281</v>
      </c>
      <c r="B161" t="s">
        <v>3282</v>
      </c>
      <c r="C161" t="s">
        <v>3023</v>
      </c>
      <c r="D161" t="s">
        <v>154</v>
      </c>
      <c r="E161">
        <v>415</v>
      </c>
      <c r="F161" t="b">
        <v>1</v>
      </c>
      <c r="G161" t="str">
        <f>HYPERLINK("https://www.google.com/maps/search/?api=1&amp;query=23.44724739,46.787458", "View Map")</f>
        <v>View Map</v>
      </c>
    </row>
    <row r="162" spans="1:7" x14ac:dyDescent="0.3">
      <c r="A162" t="s">
        <v>3283</v>
      </c>
      <c r="B162" t="s">
        <v>3284</v>
      </c>
      <c r="C162" t="s">
        <v>3002</v>
      </c>
      <c r="D162" t="s">
        <v>154</v>
      </c>
      <c r="E162">
        <v>413</v>
      </c>
      <c r="F162" t="b">
        <v>1</v>
      </c>
      <c r="G162" t="str">
        <f>HYPERLINK("https://www.google.com/maps/search/?api=1&amp;query=20.44597739,44.6898883", "View Map")</f>
        <v>View Map</v>
      </c>
    </row>
    <row r="163" spans="1:7" x14ac:dyDescent="0.3">
      <c r="A163" t="s">
        <v>3285</v>
      </c>
      <c r="B163" t="s">
        <v>3286</v>
      </c>
      <c r="C163" t="s">
        <v>3002</v>
      </c>
      <c r="D163" t="s">
        <v>154</v>
      </c>
      <c r="E163">
        <v>413</v>
      </c>
      <c r="F163" t="b">
        <v>1</v>
      </c>
      <c r="G163" t="str">
        <f>HYPERLINK("https://www.google.com/maps/search/?api=1&amp;query=20.44453598,44.74161437", "View Map")</f>
        <v>View Map</v>
      </c>
    </row>
    <row r="164" spans="1:7" x14ac:dyDescent="0.3">
      <c r="A164" t="s">
        <v>3122</v>
      </c>
      <c r="B164" t="s">
        <v>3287</v>
      </c>
      <c r="C164" t="s">
        <v>3023</v>
      </c>
      <c r="D164" t="s">
        <v>154</v>
      </c>
      <c r="E164">
        <v>412</v>
      </c>
      <c r="F164" t="b">
        <v>1</v>
      </c>
      <c r="G164" t="str">
        <f>HYPERLINK("https://www.google.com/maps/search/?api=1&amp;query=23.43246151,46.79009905", "View Map")</f>
        <v>View Map</v>
      </c>
    </row>
    <row r="165" spans="1:7" x14ac:dyDescent="0.3">
      <c r="A165" t="s">
        <v>3288</v>
      </c>
      <c r="B165" t="s">
        <v>3289</v>
      </c>
      <c r="C165" t="s">
        <v>2999</v>
      </c>
      <c r="D165" t="s">
        <v>154</v>
      </c>
      <c r="E165">
        <v>410</v>
      </c>
      <c r="F165" t="b">
        <v>1</v>
      </c>
      <c r="G165" t="str">
        <f>HYPERLINK("https://www.google.com/maps/search/?api=1&amp;query=24.14974367,47.37155679", "View Map")</f>
        <v>View Map</v>
      </c>
    </row>
    <row r="166" spans="1:7" x14ac:dyDescent="0.3">
      <c r="A166" t="s">
        <v>3290</v>
      </c>
      <c r="B166" t="s">
        <v>3291</v>
      </c>
      <c r="C166" t="s">
        <v>3028</v>
      </c>
      <c r="D166" t="s">
        <v>154</v>
      </c>
      <c r="E166">
        <v>410</v>
      </c>
      <c r="F166" t="b">
        <v>0</v>
      </c>
      <c r="G166" t="str">
        <f>HYPERLINK("https://www.google.com/maps/search/?api=1&amp;query=24.06123797,47.15742017", "View Map")</f>
        <v>View Map</v>
      </c>
    </row>
    <row r="167" spans="1:7" x14ac:dyDescent="0.3">
      <c r="A167" t="s">
        <v>3292</v>
      </c>
      <c r="B167" t="s">
        <v>3293</v>
      </c>
      <c r="C167" t="s">
        <v>2999</v>
      </c>
      <c r="D167" t="s">
        <v>154</v>
      </c>
      <c r="E167">
        <v>405</v>
      </c>
      <c r="F167" t="b">
        <v>1</v>
      </c>
      <c r="G167" t="str">
        <f>HYPERLINK("https://www.google.com/maps/search/?api=1&amp;query=24.1467733,47.30826479", "View Map")</f>
        <v>View Map</v>
      </c>
    </row>
    <row r="168" spans="1:7" x14ac:dyDescent="0.3">
      <c r="A168" t="s">
        <v>3294</v>
      </c>
      <c r="B168" t="s">
        <v>3295</v>
      </c>
      <c r="C168" t="s">
        <v>3023</v>
      </c>
      <c r="D168" t="s">
        <v>154</v>
      </c>
      <c r="E168">
        <v>397</v>
      </c>
      <c r="F168" t="b">
        <v>1</v>
      </c>
      <c r="G168" t="str">
        <f>HYPERLINK("https://www.google.com/maps/search/?api=1&amp;query=23.23286403,46.63406168", "View Map")</f>
        <v>View Map</v>
      </c>
    </row>
    <row r="169" spans="1:7" x14ac:dyDescent="0.3">
      <c r="A169" t="s">
        <v>3296</v>
      </c>
      <c r="B169" t="s">
        <v>3297</v>
      </c>
      <c r="C169" t="s">
        <v>3023</v>
      </c>
      <c r="D169" t="s">
        <v>10</v>
      </c>
      <c r="E169">
        <v>392</v>
      </c>
      <c r="F169" t="b">
        <v>0</v>
      </c>
      <c r="G169" t="str">
        <f>HYPERLINK("https://www.google.com/maps/search/?api=1&amp;query=23.51692638,46.83205037", "View Map")</f>
        <v>View Map</v>
      </c>
    </row>
    <row r="170" spans="1:7" x14ac:dyDescent="0.3">
      <c r="A170" t="s">
        <v>3298</v>
      </c>
      <c r="B170" t="s">
        <v>3299</v>
      </c>
      <c r="C170" t="s">
        <v>3077</v>
      </c>
      <c r="D170" t="s">
        <v>154</v>
      </c>
      <c r="E170">
        <v>380</v>
      </c>
      <c r="F170" t="b">
        <v>1</v>
      </c>
      <c r="G170" t="str">
        <f>HYPERLINK("https://www.google.com/maps/search/?api=1&amp;query=20.45125413,45.58634638", "View Map")</f>
        <v>View Map</v>
      </c>
    </row>
    <row r="171" spans="1:7" x14ac:dyDescent="0.3">
      <c r="A171" t="s">
        <v>1578</v>
      </c>
      <c r="B171" t="s">
        <v>3300</v>
      </c>
      <c r="C171" t="s">
        <v>2999</v>
      </c>
      <c r="D171" t="s">
        <v>1715</v>
      </c>
      <c r="E171">
        <v>322</v>
      </c>
      <c r="F171" t="b">
        <v>1</v>
      </c>
      <c r="G171" t="str">
        <f>HYPERLINK("https://www.google.com/maps/search/?api=1&amp;query=24.16007137,47.23464169", "View Map")</f>
        <v>View Map</v>
      </c>
    </row>
    <row r="172" spans="1:7" x14ac:dyDescent="0.3">
      <c r="A172" t="s">
        <v>1578</v>
      </c>
      <c r="B172" t="s">
        <v>3301</v>
      </c>
      <c r="C172" t="s">
        <v>3028</v>
      </c>
      <c r="D172" t="s">
        <v>1715</v>
      </c>
      <c r="E172">
        <v>292</v>
      </c>
      <c r="F172" t="b">
        <v>1</v>
      </c>
      <c r="G172" t="str">
        <f>HYPERLINK("https://www.google.com/maps/search/?api=1&amp;query=24.1028556,47.17585787", "View Map")</f>
        <v>View Map</v>
      </c>
    </row>
    <row r="173" spans="1:7" x14ac:dyDescent="0.3">
      <c r="A173" t="s">
        <v>3302</v>
      </c>
      <c r="B173" t="s">
        <v>3303</v>
      </c>
      <c r="C173" t="s">
        <v>2999</v>
      </c>
      <c r="D173" t="s">
        <v>1715</v>
      </c>
      <c r="E173">
        <v>282</v>
      </c>
      <c r="F173" t="b">
        <v>0</v>
      </c>
      <c r="G173" t="str">
        <f>HYPERLINK("https://www.google.com/maps/search/?api=1&amp;query=24.1539678,47.30686577", "View Map")</f>
        <v>View Map</v>
      </c>
    </row>
    <row r="174" spans="1:7" x14ac:dyDescent="0.3">
      <c r="A174" t="s">
        <v>3304</v>
      </c>
      <c r="B174" t="s">
        <v>3305</v>
      </c>
      <c r="C174" t="s">
        <v>2999</v>
      </c>
      <c r="D174" t="s">
        <v>1715</v>
      </c>
      <c r="E174">
        <v>246</v>
      </c>
      <c r="F174" t="b">
        <v>1</v>
      </c>
      <c r="G174" t="str">
        <f>HYPERLINK("https://www.google.com/maps/search/?api=1&amp;query=24.15432739,47.31032128", "View Map")</f>
        <v>View Map</v>
      </c>
    </row>
    <row r="175" spans="1:7" x14ac:dyDescent="0.3">
      <c r="A175" t="s">
        <v>3306</v>
      </c>
      <c r="B175" t="s">
        <v>3307</v>
      </c>
      <c r="C175" t="s">
        <v>2999</v>
      </c>
      <c r="D175" t="s">
        <v>1715</v>
      </c>
      <c r="E175">
        <v>242</v>
      </c>
      <c r="F175" t="b">
        <v>1</v>
      </c>
      <c r="G175" t="str">
        <f>HYPERLINK("https://www.google.com/maps/search/?api=1&amp;query=24.13881674,47.3386155", "View Map")</f>
        <v>View Map</v>
      </c>
    </row>
    <row r="176" spans="1:7" x14ac:dyDescent="0.3">
      <c r="A176" t="s">
        <v>1578</v>
      </c>
      <c r="B176" t="s">
        <v>3308</v>
      </c>
      <c r="C176" t="s">
        <v>2999</v>
      </c>
      <c r="D176" t="s">
        <v>1715</v>
      </c>
      <c r="E176">
        <v>232</v>
      </c>
      <c r="F176" t="b">
        <v>1</v>
      </c>
      <c r="G176" t="str">
        <f>HYPERLINK("https://www.google.com/maps/search/?api=1&amp;query=24.12170154,47.25547128", "View Map")</f>
        <v>View Map</v>
      </c>
    </row>
    <row r="177" spans="1:7" x14ac:dyDescent="0.3">
      <c r="A177" t="s">
        <v>3309</v>
      </c>
      <c r="B177" t="s">
        <v>3310</v>
      </c>
      <c r="C177" t="s">
        <v>3002</v>
      </c>
      <c r="D177" t="s">
        <v>1715</v>
      </c>
      <c r="E177">
        <v>225</v>
      </c>
      <c r="F177" t="b">
        <v>1</v>
      </c>
      <c r="G177" t="str">
        <f>HYPERLINK("https://www.google.com/maps/search/?api=1&amp;query=20.45192629,44.70467169", "View Map")</f>
        <v>View Map</v>
      </c>
    </row>
    <row r="178" spans="1:7" x14ac:dyDescent="0.3">
      <c r="A178" t="s">
        <v>3311</v>
      </c>
      <c r="B178" t="s">
        <v>3312</v>
      </c>
      <c r="C178" t="s">
        <v>3077</v>
      </c>
      <c r="D178" t="s">
        <v>1715</v>
      </c>
      <c r="E178">
        <v>217</v>
      </c>
      <c r="F178" t="b">
        <v>0</v>
      </c>
      <c r="G178" t="str">
        <f>HYPERLINK("https://www.google.com/maps/search/?api=1&amp;query=20.46351658,45.58946507", "View Map")</f>
        <v>View Map</v>
      </c>
    </row>
    <row r="179" spans="1:7" x14ac:dyDescent="0.3">
      <c r="A179" t="s">
        <v>1370</v>
      </c>
      <c r="B179" t="s">
        <v>3313</v>
      </c>
      <c r="C179" t="s">
        <v>3002</v>
      </c>
      <c r="D179" t="s">
        <v>1715</v>
      </c>
      <c r="E179">
        <v>195</v>
      </c>
      <c r="F179" t="b">
        <v>1</v>
      </c>
      <c r="G179" t="str">
        <f>HYPERLINK("https://www.google.com/maps/search/?api=1&amp;query=20.4503241,44.8405842", "View Map")</f>
        <v>View Map</v>
      </c>
    </row>
    <row r="180" spans="1:7" x14ac:dyDescent="0.3">
      <c r="A180" t="s">
        <v>3314</v>
      </c>
      <c r="B180" t="s">
        <v>3315</v>
      </c>
      <c r="C180" t="s">
        <v>3002</v>
      </c>
      <c r="D180" t="s">
        <v>1715</v>
      </c>
      <c r="E180">
        <v>191</v>
      </c>
      <c r="F180" t="b">
        <v>1</v>
      </c>
      <c r="G180" t="str">
        <f>HYPERLINK("https://www.google.com/maps/search/?api=1&amp;query=20.44575708,44.86397", "View Map")</f>
        <v>View Map</v>
      </c>
    </row>
    <row r="181" spans="1:7" x14ac:dyDescent="0.3">
      <c r="A181" t="s">
        <v>3316</v>
      </c>
      <c r="B181" t="s">
        <v>3317</v>
      </c>
      <c r="C181" t="s">
        <v>3002</v>
      </c>
      <c r="D181" t="s">
        <v>1715</v>
      </c>
      <c r="E181">
        <v>189</v>
      </c>
      <c r="F181" t="b">
        <v>1</v>
      </c>
      <c r="G181" t="str">
        <f>HYPERLINK("https://www.google.com/maps/search/?api=1&amp;query=20.49206405,44.74902214",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0"/>
  <sheetViews>
    <sheetView tabSelected="1" workbookViewId="0">
      <selection activeCell="D9" sqref="D9"/>
    </sheetView>
  </sheetViews>
  <sheetFormatPr defaultRowHeight="14.4" x14ac:dyDescent="0.3"/>
  <cols>
    <col min="1" max="1" width="41" customWidth="1"/>
    <col min="2" max="2" width="18" customWidth="1"/>
    <col min="3" max="3" width="10" customWidth="1"/>
    <col min="4" max="4" width="20" customWidth="1"/>
    <col min="5" max="5" width="24" customWidth="1"/>
    <col min="6" max="6" width="13" customWidth="1"/>
    <col min="7" max="7" width="9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3318</v>
      </c>
      <c r="B2" t="s">
        <v>3319</v>
      </c>
      <c r="C2" t="s">
        <v>3320</v>
      </c>
      <c r="D2" t="s">
        <v>10</v>
      </c>
      <c r="E2">
        <v>5693</v>
      </c>
      <c r="F2" t="b">
        <v>1</v>
      </c>
      <c r="G2" t="str">
        <f>HYPERLINK("https://www.google.com/maps/search/?api=1&amp;query=25.70312563,45.59412699", "View Map")</f>
        <v>View Map</v>
      </c>
    </row>
    <row r="3" spans="1:7" x14ac:dyDescent="0.3">
      <c r="A3" t="s">
        <v>3321</v>
      </c>
      <c r="B3" t="s">
        <v>3322</v>
      </c>
      <c r="C3" t="s">
        <v>3323</v>
      </c>
      <c r="D3" t="s">
        <v>10</v>
      </c>
      <c r="E3">
        <v>4744</v>
      </c>
      <c r="F3" t="b">
        <v>1</v>
      </c>
      <c r="G3" t="str">
        <f>HYPERLINK("https://www.google.com/maps/search/?api=1&amp;query=25.18074702,45.80168178", "View Map")</f>
        <v>View Map</v>
      </c>
    </row>
    <row r="4" spans="1:7" x14ac:dyDescent="0.3">
      <c r="A4" t="s">
        <v>992</v>
      </c>
      <c r="B4" t="s">
        <v>3324</v>
      </c>
      <c r="C4" t="s">
        <v>3325</v>
      </c>
      <c r="D4" t="s">
        <v>10</v>
      </c>
      <c r="E4">
        <v>4477</v>
      </c>
      <c r="F4" t="b">
        <v>1</v>
      </c>
      <c r="G4" t="str">
        <f>HYPERLINK("https://www.google.com/maps/search/?api=1&amp;query=26.29771037,44.80181185", "View Map")</f>
        <v>View Map</v>
      </c>
    </row>
    <row r="5" spans="1:7" x14ac:dyDescent="0.3">
      <c r="A5" t="s">
        <v>3326</v>
      </c>
      <c r="B5" t="s">
        <v>3327</v>
      </c>
      <c r="C5" t="s">
        <v>3328</v>
      </c>
      <c r="D5" t="s">
        <v>10</v>
      </c>
      <c r="E5">
        <v>4099</v>
      </c>
      <c r="F5" t="b">
        <v>1</v>
      </c>
      <c r="G5" t="str">
        <f>HYPERLINK("https://www.google.com/maps/search/?api=1&amp;query=25.2430541,45.25760012", "View Map")</f>
        <v>View Map</v>
      </c>
    </row>
    <row r="6" spans="1:7" x14ac:dyDescent="0.3">
      <c r="A6" t="s">
        <v>3329</v>
      </c>
      <c r="B6" t="s">
        <v>3330</v>
      </c>
      <c r="C6" t="s">
        <v>3328</v>
      </c>
      <c r="D6" t="s">
        <v>10</v>
      </c>
      <c r="E6">
        <v>3398</v>
      </c>
      <c r="F6" t="b">
        <v>1</v>
      </c>
      <c r="G6" t="str">
        <f>HYPERLINK("https://www.google.com/maps/search/?api=1&amp;query=25.29597092,45.53238578", "View Map")</f>
        <v>View Map</v>
      </c>
    </row>
    <row r="7" spans="1:7" x14ac:dyDescent="0.3">
      <c r="A7" t="s">
        <v>3331</v>
      </c>
      <c r="B7" t="s">
        <v>3332</v>
      </c>
      <c r="C7" t="s">
        <v>3325</v>
      </c>
      <c r="D7" t="s">
        <v>10</v>
      </c>
      <c r="E7">
        <v>2523</v>
      </c>
      <c r="F7" t="b">
        <v>1</v>
      </c>
      <c r="G7" t="str">
        <f>HYPERLINK("https://www.google.com/maps/search/?api=1&amp;query=26.29313403,44.82522687", "View Map")</f>
        <v>View Map</v>
      </c>
    </row>
    <row r="8" spans="1:7" x14ac:dyDescent="0.3">
      <c r="A8" t="s">
        <v>3333</v>
      </c>
      <c r="B8" t="s">
        <v>3334</v>
      </c>
      <c r="C8" t="s">
        <v>3325</v>
      </c>
      <c r="D8" t="s">
        <v>10</v>
      </c>
      <c r="E8">
        <v>2126</v>
      </c>
      <c r="F8" t="b">
        <v>1</v>
      </c>
      <c r="G8" t="str">
        <f>HYPERLINK("https://www.google.com/maps/search/?api=1&amp;query=26.31126466,44.82186711", "View Map")</f>
        <v>View Map</v>
      </c>
    </row>
    <row r="9" spans="1:7" x14ac:dyDescent="0.3">
      <c r="A9" t="s">
        <v>3335</v>
      </c>
      <c r="B9" t="s">
        <v>3336</v>
      </c>
      <c r="C9" t="s">
        <v>3320</v>
      </c>
      <c r="D9" t="s">
        <v>10</v>
      </c>
      <c r="E9">
        <v>2049</v>
      </c>
      <c r="F9" t="b">
        <v>1</v>
      </c>
      <c r="G9" t="str">
        <f>HYPERLINK("https://www.google.com/maps/search/?api=1&amp;query=25.90665398,45.36986552", "View Map")</f>
        <v>View Map</v>
      </c>
    </row>
    <row r="10" spans="1:7" x14ac:dyDescent="0.3">
      <c r="A10" t="s">
        <v>3337</v>
      </c>
      <c r="B10" t="s">
        <v>3338</v>
      </c>
      <c r="C10" t="s">
        <v>3339</v>
      </c>
      <c r="D10" t="s">
        <v>10</v>
      </c>
      <c r="E10">
        <v>1934</v>
      </c>
      <c r="F10" t="b">
        <v>1</v>
      </c>
      <c r="G10" t="str">
        <f>HYPERLINK("https://www.google.com/maps/search/?api=1&amp;query=25.10882325,46.10666799", "View Map")</f>
        <v>View Map</v>
      </c>
    </row>
    <row r="11" spans="1:7" x14ac:dyDescent="0.3">
      <c r="A11" t="s">
        <v>3340</v>
      </c>
      <c r="B11" t="s">
        <v>3341</v>
      </c>
      <c r="C11" t="s">
        <v>3325</v>
      </c>
      <c r="D11" t="s">
        <v>10</v>
      </c>
      <c r="E11">
        <v>1894</v>
      </c>
      <c r="F11" t="b">
        <v>1</v>
      </c>
      <c r="G11" t="str">
        <f>HYPERLINK("https://www.google.com/maps/search/?api=1&amp;query=26.29423433,44.82305807", "View Map")</f>
        <v>View Map</v>
      </c>
    </row>
    <row r="12" spans="1:7" x14ac:dyDescent="0.3">
      <c r="A12" t="s">
        <v>3342</v>
      </c>
      <c r="B12" t="s">
        <v>3343</v>
      </c>
      <c r="C12" t="s">
        <v>3323</v>
      </c>
      <c r="D12" t="s">
        <v>154</v>
      </c>
      <c r="E12">
        <v>1840</v>
      </c>
      <c r="F12" t="b">
        <v>1</v>
      </c>
      <c r="G12" t="str">
        <f>HYPERLINK("https://www.google.com/maps/search/?api=1&amp;query=25.28436705,45.86242288", "View Map")</f>
        <v>View Map</v>
      </c>
    </row>
    <row r="13" spans="1:7" x14ac:dyDescent="0.3">
      <c r="A13" t="s">
        <v>3344</v>
      </c>
      <c r="B13" t="s">
        <v>3345</v>
      </c>
      <c r="C13" t="s">
        <v>3325</v>
      </c>
      <c r="D13" t="s">
        <v>10</v>
      </c>
      <c r="E13">
        <v>1791</v>
      </c>
      <c r="F13" t="b">
        <v>1</v>
      </c>
      <c r="G13" t="str">
        <f>HYPERLINK("https://www.google.com/maps/search/?api=1&amp;query=26.29322262,44.80613686", "View Map")</f>
        <v>View Map</v>
      </c>
    </row>
    <row r="14" spans="1:7" x14ac:dyDescent="0.3">
      <c r="A14" t="s">
        <v>3346</v>
      </c>
      <c r="B14" t="s">
        <v>3347</v>
      </c>
      <c r="C14" t="s">
        <v>3325</v>
      </c>
      <c r="D14" t="s">
        <v>10</v>
      </c>
      <c r="E14">
        <v>1722</v>
      </c>
      <c r="F14" t="b">
        <v>1</v>
      </c>
      <c r="G14" t="str">
        <f>HYPERLINK("https://www.google.com/maps/search/?api=1&amp;query=26.31361791,44.79530911", "View Map")</f>
        <v>View Map</v>
      </c>
    </row>
    <row r="15" spans="1:7" x14ac:dyDescent="0.3">
      <c r="A15" t="s">
        <v>3348</v>
      </c>
      <c r="B15" t="s">
        <v>3349</v>
      </c>
      <c r="C15" t="s">
        <v>3325</v>
      </c>
      <c r="D15" t="s">
        <v>10</v>
      </c>
      <c r="E15">
        <v>1719</v>
      </c>
      <c r="F15" t="b">
        <v>1</v>
      </c>
      <c r="G15" t="str">
        <f>HYPERLINK("https://www.google.com/maps/search/?api=1&amp;query=26.29568917,44.80257633", "View Map")</f>
        <v>View Map</v>
      </c>
    </row>
    <row r="16" spans="1:7" x14ac:dyDescent="0.3">
      <c r="A16" t="s">
        <v>3350</v>
      </c>
      <c r="B16" t="s">
        <v>3351</v>
      </c>
      <c r="C16" t="s">
        <v>3352</v>
      </c>
      <c r="D16" t="s">
        <v>10</v>
      </c>
      <c r="E16">
        <v>1647</v>
      </c>
      <c r="F16" t="b">
        <v>1</v>
      </c>
      <c r="G16" t="str">
        <f>HYPERLINK("https://www.google.com/maps/search/?api=1&amp;query=25.07028395,45.45310802", "View Map")</f>
        <v>View Map</v>
      </c>
    </row>
    <row r="17" spans="1:7" x14ac:dyDescent="0.3">
      <c r="A17" t="s">
        <v>3353</v>
      </c>
      <c r="B17" t="s">
        <v>3354</v>
      </c>
      <c r="C17" t="s">
        <v>3325</v>
      </c>
      <c r="D17" t="s">
        <v>10</v>
      </c>
      <c r="E17">
        <v>1642</v>
      </c>
      <c r="F17" t="b">
        <v>1</v>
      </c>
      <c r="G17" t="str">
        <f>HYPERLINK("https://www.google.com/maps/search/?api=1&amp;query=26.2750392,44.83346738", "View Map")</f>
        <v>View Map</v>
      </c>
    </row>
    <row r="18" spans="1:7" x14ac:dyDescent="0.3">
      <c r="A18" t="s">
        <v>3355</v>
      </c>
      <c r="B18" t="s">
        <v>3356</v>
      </c>
      <c r="C18" t="s">
        <v>3323</v>
      </c>
      <c r="D18" t="s">
        <v>10</v>
      </c>
      <c r="E18">
        <v>1622</v>
      </c>
      <c r="F18" t="b">
        <v>1</v>
      </c>
      <c r="G18" t="str">
        <f>HYPERLINK("https://www.google.com/maps/search/?api=1&amp;query=25.16284177,45.79747487", "View Map")</f>
        <v>View Map</v>
      </c>
    </row>
    <row r="19" spans="1:7" x14ac:dyDescent="0.3">
      <c r="A19" t="s">
        <v>3357</v>
      </c>
      <c r="B19" t="s">
        <v>3358</v>
      </c>
      <c r="C19" t="s">
        <v>3320</v>
      </c>
      <c r="D19" t="s">
        <v>10</v>
      </c>
      <c r="E19">
        <v>1613</v>
      </c>
      <c r="F19" t="b">
        <v>1</v>
      </c>
      <c r="G19" t="str">
        <f>HYPERLINK("https://www.google.com/maps/search/?api=1&amp;query=25.70480561,45.45324623", "View Map")</f>
        <v>View Map</v>
      </c>
    </row>
    <row r="20" spans="1:7" x14ac:dyDescent="0.3">
      <c r="A20" t="s">
        <v>3353</v>
      </c>
      <c r="B20" t="s">
        <v>3359</v>
      </c>
      <c r="C20" t="s">
        <v>3325</v>
      </c>
      <c r="D20" t="s">
        <v>154</v>
      </c>
      <c r="E20">
        <v>1602</v>
      </c>
      <c r="F20" t="b">
        <v>1</v>
      </c>
      <c r="G20" t="str">
        <f>HYPERLINK("https://www.google.com/maps/search/?api=1&amp;query=26.31284717,44.88297222", "View Map")</f>
        <v>View Map</v>
      </c>
    </row>
    <row r="21" spans="1:7" x14ac:dyDescent="0.3">
      <c r="A21" t="s">
        <v>3360</v>
      </c>
      <c r="B21" t="s">
        <v>3361</v>
      </c>
      <c r="C21" t="s">
        <v>3352</v>
      </c>
      <c r="D21" t="s">
        <v>10</v>
      </c>
      <c r="E21">
        <v>1552</v>
      </c>
      <c r="F21" t="b">
        <v>0</v>
      </c>
      <c r="G21" t="str">
        <f>HYPERLINK("https://www.google.com/maps/search/?api=1&amp;query=25.0710571,45.45829353", "View Map")</f>
        <v>View Map</v>
      </c>
    </row>
    <row r="22" spans="1:7" x14ac:dyDescent="0.3">
      <c r="A22" t="s">
        <v>3362</v>
      </c>
      <c r="B22" t="s">
        <v>3363</v>
      </c>
      <c r="C22" t="s">
        <v>3325</v>
      </c>
      <c r="D22" t="s">
        <v>10</v>
      </c>
      <c r="E22">
        <v>1549</v>
      </c>
      <c r="F22" t="b">
        <v>1</v>
      </c>
      <c r="G22" t="str">
        <f>HYPERLINK("https://www.google.com/maps/search/?api=1&amp;query=26.33404486,44.81111048", "View Map")</f>
        <v>View Map</v>
      </c>
    </row>
    <row r="23" spans="1:7" x14ac:dyDescent="0.3">
      <c r="A23" t="s">
        <v>3364</v>
      </c>
      <c r="B23" t="s">
        <v>3365</v>
      </c>
      <c r="C23" t="s">
        <v>3325</v>
      </c>
      <c r="D23" t="s">
        <v>10</v>
      </c>
      <c r="E23">
        <v>1536</v>
      </c>
      <c r="F23" t="b">
        <v>1</v>
      </c>
      <c r="G23" t="str">
        <f>HYPERLINK("https://www.google.com/maps/search/?api=1&amp;query=26.29920334,44.80223512", "View Map")</f>
        <v>View Map</v>
      </c>
    </row>
    <row r="24" spans="1:7" x14ac:dyDescent="0.3">
      <c r="A24" t="s">
        <v>1420</v>
      </c>
      <c r="B24" t="s">
        <v>3366</v>
      </c>
      <c r="C24" t="s">
        <v>3325</v>
      </c>
      <c r="D24" t="s">
        <v>10</v>
      </c>
      <c r="E24">
        <v>1531</v>
      </c>
      <c r="F24" t="b">
        <v>1</v>
      </c>
      <c r="G24" t="str">
        <f>HYPERLINK("https://www.google.com/maps/search/?api=1&amp;query=26.29497184,44.82990714", "View Map")</f>
        <v>View Map</v>
      </c>
    </row>
    <row r="25" spans="1:7" x14ac:dyDescent="0.3">
      <c r="A25" t="s">
        <v>3367</v>
      </c>
      <c r="B25" t="s">
        <v>3368</v>
      </c>
      <c r="C25" t="s">
        <v>3325</v>
      </c>
      <c r="D25" t="s">
        <v>10</v>
      </c>
      <c r="E25">
        <v>1520</v>
      </c>
      <c r="F25" t="b">
        <v>1</v>
      </c>
      <c r="G25" t="str">
        <f>HYPERLINK("https://www.google.com/maps/search/?api=1&amp;query=26.25259888,44.82221262", "View Map")</f>
        <v>View Map</v>
      </c>
    </row>
    <row r="26" spans="1:7" x14ac:dyDescent="0.3">
      <c r="A26" t="s">
        <v>3369</v>
      </c>
      <c r="B26" t="s">
        <v>3370</v>
      </c>
      <c r="C26" t="s">
        <v>3320</v>
      </c>
      <c r="D26" t="s">
        <v>10</v>
      </c>
      <c r="E26">
        <v>1510</v>
      </c>
      <c r="F26" t="b">
        <v>1</v>
      </c>
      <c r="G26" t="str">
        <f>HYPERLINK("https://www.google.com/maps/search/?api=1&amp;query=25.90137549,45.33808059", "View Map")</f>
        <v>View Map</v>
      </c>
    </row>
    <row r="27" spans="1:7" x14ac:dyDescent="0.3">
      <c r="A27" t="s">
        <v>3371</v>
      </c>
      <c r="B27" t="s">
        <v>3372</v>
      </c>
      <c r="C27" t="s">
        <v>3325</v>
      </c>
      <c r="D27" t="s">
        <v>10</v>
      </c>
      <c r="E27">
        <v>1505</v>
      </c>
      <c r="F27" t="b">
        <v>1</v>
      </c>
      <c r="G27" t="str">
        <f>HYPERLINK("https://www.google.com/maps/search/?api=1&amp;query=26.31999517,44.8200038", "View Map")</f>
        <v>View Map</v>
      </c>
    </row>
    <row r="28" spans="1:7" x14ac:dyDescent="0.3">
      <c r="A28" t="s">
        <v>1731</v>
      </c>
      <c r="B28" t="s">
        <v>3373</v>
      </c>
      <c r="C28" t="s">
        <v>3325</v>
      </c>
      <c r="D28" t="s">
        <v>10</v>
      </c>
      <c r="E28">
        <v>1500</v>
      </c>
      <c r="F28" t="b">
        <v>1</v>
      </c>
      <c r="G28" t="str">
        <f>HYPERLINK("https://www.google.com/maps/search/?api=1&amp;query=26.30961583,44.79611759", "View Map")</f>
        <v>View Map</v>
      </c>
    </row>
    <row r="29" spans="1:7" x14ac:dyDescent="0.3">
      <c r="A29" t="s">
        <v>3374</v>
      </c>
      <c r="B29" t="s">
        <v>3375</v>
      </c>
      <c r="C29" t="s">
        <v>3328</v>
      </c>
      <c r="D29" t="s">
        <v>10</v>
      </c>
      <c r="E29">
        <v>1495</v>
      </c>
      <c r="F29" t="b">
        <v>1</v>
      </c>
      <c r="G29" t="str">
        <f>HYPERLINK("https://www.google.com/maps/search/?api=1&amp;query=25.21629447,45.24448472", "View Map")</f>
        <v>View Map</v>
      </c>
    </row>
    <row r="30" spans="1:7" x14ac:dyDescent="0.3">
      <c r="A30" t="s">
        <v>3376</v>
      </c>
      <c r="B30" t="s">
        <v>3377</v>
      </c>
      <c r="C30" t="s">
        <v>3378</v>
      </c>
      <c r="D30" t="s">
        <v>10</v>
      </c>
      <c r="E30">
        <v>1487</v>
      </c>
      <c r="F30" t="b">
        <v>1</v>
      </c>
      <c r="G30" t="str">
        <f>HYPERLINK("https://www.google.com/maps/search/?api=1&amp;query=26.01802025,44.92578941", "View Map")</f>
        <v>View Map</v>
      </c>
    </row>
    <row r="31" spans="1:7" x14ac:dyDescent="0.3">
      <c r="A31" t="s">
        <v>3379</v>
      </c>
      <c r="B31" t="s">
        <v>3380</v>
      </c>
      <c r="C31" t="s">
        <v>3325</v>
      </c>
      <c r="D31" t="s">
        <v>10</v>
      </c>
      <c r="E31">
        <v>1482</v>
      </c>
      <c r="F31" t="b">
        <v>1</v>
      </c>
      <c r="G31" t="str">
        <f>HYPERLINK("https://www.google.com/maps/search/?api=1&amp;query=26.29833162,44.82278156", "View Map")</f>
        <v>View Map</v>
      </c>
    </row>
    <row r="32" spans="1:7" x14ac:dyDescent="0.3">
      <c r="A32" t="s">
        <v>3381</v>
      </c>
      <c r="B32" t="s">
        <v>3382</v>
      </c>
      <c r="C32" t="s">
        <v>3325</v>
      </c>
      <c r="D32" t="s">
        <v>10</v>
      </c>
      <c r="E32">
        <v>1476</v>
      </c>
      <c r="F32" t="b">
        <v>1</v>
      </c>
      <c r="G32" t="str">
        <f>HYPERLINK("https://www.google.com/maps/search/?api=1&amp;query=26.2917135,44.84039555", "View Map")</f>
        <v>View Map</v>
      </c>
    </row>
    <row r="33" spans="1:7" x14ac:dyDescent="0.3">
      <c r="A33" t="s">
        <v>3383</v>
      </c>
      <c r="B33" t="s">
        <v>3384</v>
      </c>
      <c r="C33" t="s">
        <v>3339</v>
      </c>
      <c r="D33" t="s">
        <v>10</v>
      </c>
      <c r="E33">
        <v>1410</v>
      </c>
      <c r="F33" t="b">
        <v>1</v>
      </c>
      <c r="G33" t="str">
        <f>HYPERLINK("https://www.google.com/maps/search/?api=1&amp;query=25.12535448,46.12211564", "View Map")</f>
        <v>View Map</v>
      </c>
    </row>
    <row r="34" spans="1:7" x14ac:dyDescent="0.3">
      <c r="A34" t="s">
        <v>3385</v>
      </c>
      <c r="B34" t="s">
        <v>3386</v>
      </c>
      <c r="C34" t="s">
        <v>3325</v>
      </c>
      <c r="D34" t="s">
        <v>10</v>
      </c>
      <c r="E34">
        <v>1398</v>
      </c>
      <c r="F34" t="b">
        <v>1</v>
      </c>
      <c r="G34" t="str">
        <f>HYPERLINK("https://www.google.com/maps/search/?api=1&amp;query=26.31173364,44.80579245", "View Map")</f>
        <v>View Map</v>
      </c>
    </row>
    <row r="35" spans="1:7" x14ac:dyDescent="0.3">
      <c r="A35" t="s">
        <v>3387</v>
      </c>
      <c r="B35" t="s">
        <v>3388</v>
      </c>
      <c r="C35" t="s">
        <v>3389</v>
      </c>
      <c r="D35" t="s">
        <v>10</v>
      </c>
      <c r="E35">
        <v>1344</v>
      </c>
      <c r="F35" t="b">
        <v>1</v>
      </c>
      <c r="G35" t="str">
        <f>HYPERLINK("https://www.google.com/maps/search/?api=1&amp;query=25.542916,47.17302172", "View Map")</f>
        <v>View Map</v>
      </c>
    </row>
    <row r="36" spans="1:7" x14ac:dyDescent="0.3">
      <c r="A36" t="s">
        <v>3390</v>
      </c>
      <c r="B36" t="s">
        <v>3391</v>
      </c>
      <c r="C36" t="s">
        <v>3325</v>
      </c>
      <c r="D36" t="s">
        <v>10</v>
      </c>
      <c r="E36">
        <v>1333</v>
      </c>
      <c r="F36" t="b">
        <v>1</v>
      </c>
      <c r="G36" t="str">
        <f>HYPERLINK("https://www.google.com/maps/search/?api=1&amp;query=26.30417011,44.80322836", "View Map")</f>
        <v>View Map</v>
      </c>
    </row>
    <row r="37" spans="1:7" x14ac:dyDescent="0.3">
      <c r="A37" t="s">
        <v>3392</v>
      </c>
      <c r="B37" t="s">
        <v>3393</v>
      </c>
      <c r="C37" t="s">
        <v>3325</v>
      </c>
      <c r="D37" t="s">
        <v>10</v>
      </c>
      <c r="E37">
        <v>1323</v>
      </c>
      <c r="F37" t="b">
        <v>1</v>
      </c>
      <c r="G37" t="str">
        <f>HYPERLINK("https://www.google.com/maps/search/?api=1&amp;query=26.29852686,44.82937323", "View Map")</f>
        <v>View Map</v>
      </c>
    </row>
    <row r="38" spans="1:7" x14ac:dyDescent="0.3">
      <c r="A38" t="s">
        <v>3394</v>
      </c>
      <c r="B38" t="s">
        <v>3395</v>
      </c>
      <c r="C38" t="s">
        <v>3325</v>
      </c>
      <c r="D38" t="s">
        <v>10</v>
      </c>
      <c r="E38">
        <v>1323</v>
      </c>
      <c r="F38" t="b">
        <v>0</v>
      </c>
      <c r="G38" t="str">
        <f>HYPERLINK("https://www.google.com/maps/search/?api=1&amp;query=26.25593278,44.8138683", "View Map")</f>
        <v>View Map</v>
      </c>
    </row>
    <row r="39" spans="1:7" x14ac:dyDescent="0.3">
      <c r="A39" t="s">
        <v>3396</v>
      </c>
      <c r="B39" t="s">
        <v>3397</v>
      </c>
      <c r="C39" t="s">
        <v>3325</v>
      </c>
      <c r="D39" t="s">
        <v>10</v>
      </c>
      <c r="E39">
        <v>1319</v>
      </c>
      <c r="F39" t="b">
        <v>1</v>
      </c>
      <c r="G39" t="str">
        <f>HYPERLINK("https://www.google.com/maps/search/?api=1&amp;query=26.31460834,44.7940335", "View Map")</f>
        <v>View Map</v>
      </c>
    </row>
    <row r="40" spans="1:7" x14ac:dyDescent="0.3">
      <c r="A40" t="s">
        <v>3398</v>
      </c>
      <c r="B40" t="s">
        <v>3399</v>
      </c>
      <c r="C40" t="s">
        <v>3325</v>
      </c>
      <c r="D40" t="s">
        <v>10</v>
      </c>
      <c r="E40">
        <v>1318</v>
      </c>
      <c r="F40" t="b">
        <v>1</v>
      </c>
      <c r="G40" t="str">
        <f>HYPERLINK("https://www.google.com/maps/search/?api=1&amp;query=26.2935095,44.78403525", "View Map")</f>
        <v>View Map</v>
      </c>
    </row>
    <row r="41" spans="1:7" x14ac:dyDescent="0.3">
      <c r="A41" t="s">
        <v>3400</v>
      </c>
      <c r="B41" t="s">
        <v>3401</v>
      </c>
      <c r="C41" t="s">
        <v>3328</v>
      </c>
      <c r="D41" t="s">
        <v>10</v>
      </c>
      <c r="E41">
        <v>1304</v>
      </c>
      <c r="F41" t="b">
        <v>1</v>
      </c>
      <c r="G41" t="str">
        <f>HYPERLINK("https://www.google.com/maps/search/?api=1&amp;query=25.29422746,45.51875417", "View Map")</f>
        <v>View Map</v>
      </c>
    </row>
    <row r="42" spans="1:7" x14ac:dyDescent="0.3">
      <c r="A42" t="s">
        <v>3402</v>
      </c>
      <c r="B42" t="s">
        <v>3403</v>
      </c>
      <c r="C42" t="s">
        <v>3325</v>
      </c>
      <c r="D42" t="s">
        <v>10</v>
      </c>
      <c r="E42">
        <v>1296</v>
      </c>
      <c r="F42" t="b">
        <v>1</v>
      </c>
      <c r="G42" t="str">
        <f>HYPERLINK("https://www.google.com/maps/search/?api=1&amp;query=26.26407745,44.80352869", "View Map")</f>
        <v>View Map</v>
      </c>
    </row>
    <row r="43" spans="1:7" x14ac:dyDescent="0.3">
      <c r="A43" t="s">
        <v>3404</v>
      </c>
      <c r="B43" t="s">
        <v>3405</v>
      </c>
      <c r="C43" t="s">
        <v>3325</v>
      </c>
      <c r="D43" t="s">
        <v>10</v>
      </c>
      <c r="E43">
        <v>1294</v>
      </c>
      <c r="F43" t="b">
        <v>1</v>
      </c>
      <c r="G43" t="str">
        <f>HYPERLINK("https://www.google.com/maps/search/?api=1&amp;query=26.30466337,44.80606194", "View Map")</f>
        <v>View Map</v>
      </c>
    </row>
    <row r="44" spans="1:7" x14ac:dyDescent="0.3">
      <c r="A44" t="s">
        <v>3406</v>
      </c>
      <c r="B44" t="s">
        <v>3407</v>
      </c>
      <c r="C44" t="s">
        <v>3320</v>
      </c>
      <c r="D44" t="s">
        <v>10</v>
      </c>
      <c r="E44">
        <v>1289</v>
      </c>
      <c r="F44" t="b">
        <v>1</v>
      </c>
      <c r="G44" t="str">
        <f>HYPERLINK("https://www.google.com/maps/search/?api=1&amp;query=25.62448757,45.57298823", "View Map")</f>
        <v>View Map</v>
      </c>
    </row>
    <row r="45" spans="1:7" x14ac:dyDescent="0.3">
      <c r="A45" t="s">
        <v>3408</v>
      </c>
      <c r="B45" t="s">
        <v>3409</v>
      </c>
      <c r="C45" t="s">
        <v>3328</v>
      </c>
      <c r="D45" t="s">
        <v>154</v>
      </c>
      <c r="E45">
        <v>1286</v>
      </c>
      <c r="F45" t="b">
        <v>0</v>
      </c>
      <c r="G45" t="str">
        <f>HYPERLINK("https://www.google.com/maps/search/?api=1&amp;query=25.2975303,45.52773251", "View Map")</f>
        <v>View Map</v>
      </c>
    </row>
    <row r="46" spans="1:7" x14ac:dyDescent="0.3">
      <c r="A46" t="s">
        <v>3410</v>
      </c>
      <c r="B46" t="s">
        <v>3411</v>
      </c>
      <c r="C46" t="s">
        <v>3323</v>
      </c>
      <c r="D46" t="s">
        <v>10</v>
      </c>
      <c r="E46">
        <v>1285</v>
      </c>
      <c r="F46" t="b">
        <v>1</v>
      </c>
      <c r="G46" t="str">
        <f>HYPERLINK("https://www.google.com/maps/search/?api=1&amp;query=25.29098964,45.7875043", "View Map")</f>
        <v>View Map</v>
      </c>
    </row>
    <row r="47" spans="1:7" x14ac:dyDescent="0.3">
      <c r="A47" t="s">
        <v>3412</v>
      </c>
      <c r="B47" t="s">
        <v>3413</v>
      </c>
      <c r="C47" t="s">
        <v>3325</v>
      </c>
      <c r="D47" t="s">
        <v>10</v>
      </c>
      <c r="E47">
        <v>1266</v>
      </c>
      <c r="F47" t="b">
        <v>1</v>
      </c>
      <c r="G47" t="str">
        <f>HYPERLINK("https://www.google.com/maps/search/?api=1&amp;query=26.32463034,44.82753967", "View Map")</f>
        <v>View Map</v>
      </c>
    </row>
    <row r="48" spans="1:7" x14ac:dyDescent="0.3">
      <c r="A48" t="s">
        <v>3414</v>
      </c>
      <c r="B48" t="s">
        <v>3415</v>
      </c>
      <c r="C48" t="s">
        <v>3325</v>
      </c>
      <c r="D48" t="s">
        <v>10</v>
      </c>
      <c r="E48">
        <v>1249</v>
      </c>
      <c r="F48" t="b">
        <v>0</v>
      </c>
      <c r="G48" t="str">
        <f>HYPERLINK("https://www.google.com/maps/search/?api=1&amp;query=26.29079536,44.79491385", "View Map")</f>
        <v>View Map</v>
      </c>
    </row>
    <row r="49" spans="1:7" x14ac:dyDescent="0.3">
      <c r="A49" t="s">
        <v>3416</v>
      </c>
      <c r="B49" t="s">
        <v>3417</v>
      </c>
      <c r="C49" t="s">
        <v>3325</v>
      </c>
      <c r="D49" t="s">
        <v>10</v>
      </c>
      <c r="E49">
        <v>1246</v>
      </c>
      <c r="F49" t="b">
        <v>1</v>
      </c>
      <c r="G49" t="str">
        <f>HYPERLINK("https://www.google.com/maps/search/?api=1&amp;query=26.31571149,44.8013907", "View Map")</f>
        <v>View Map</v>
      </c>
    </row>
    <row r="50" spans="1:7" x14ac:dyDescent="0.3">
      <c r="A50" t="s">
        <v>3418</v>
      </c>
      <c r="B50" t="s">
        <v>3419</v>
      </c>
      <c r="C50" t="s">
        <v>3378</v>
      </c>
      <c r="D50" t="s">
        <v>10</v>
      </c>
      <c r="E50">
        <v>1245</v>
      </c>
      <c r="F50" t="b">
        <v>1</v>
      </c>
      <c r="G50" t="str">
        <f>HYPERLINK("https://www.google.com/maps/search/?api=1&amp;query=26.02570527,44.95580212", "View Map")</f>
        <v>View Map</v>
      </c>
    </row>
    <row r="51" spans="1:7" x14ac:dyDescent="0.3">
      <c r="A51" t="s">
        <v>3420</v>
      </c>
      <c r="B51" t="s">
        <v>3421</v>
      </c>
      <c r="C51" t="s">
        <v>3325</v>
      </c>
      <c r="D51" t="s">
        <v>10</v>
      </c>
      <c r="E51">
        <v>1242</v>
      </c>
      <c r="F51" t="b">
        <v>0</v>
      </c>
      <c r="G51" t="str">
        <f>HYPERLINK("https://www.google.com/maps/search/?api=1&amp;query=26.29396856,44.80126494", "View Map")</f>
        <v>View Map</v>
      </c>
    </row>
    <row r="52" spans="1:7" x14ac:dyDescent="0.3">
      <c r="A52" t="s">
        <v>3422</v>
      </c>
      <c r="B52" t="s">
        <v>3423</v>
      </c>
      <c r="C52" t="s">
        <v>3320</v>
      </c>
      <c r="D52" t="s">
        <v>10</v>
      </c>
      <c r="E52">
        <v>1235</v>
      </c>
      <c r="F52" t="b">
        <v>1</v>
      </c>
      <c r="G52" t="str">
        <f>HYPERLINK("https://www.google.com/maps/search/?api=1&amp;query=25.6197703,45.55420143", "View Map")</f>
        <v>View Map</v>
      </c>
    </row>
    <row r="53" spans="1:7" x14ac:dyDescent="0.3">
      <c r="A53" t="s">
        <v>3424</v>
      </c>
      <c r="B53" t="s">
        <v>3425</v>
      </c>
      <c r="C53" t="s">
        <v>3320</v>
      </c>
      <c r="D53" t="s">
        <v>10</v>
      </c>
      <c r="E53">
        <v>1226</v>
      </c>
      <c r="F53" t="b">
        <v>1</v>
      </c>
      <c r="G53" t="str">
        <f>HYPERLINK("https://www.google.com/maps/search/?api=1&amp;query=25.90511935,45.36353574", "View Map")</f>
        <v>View Map</v>
      </c>
    </row>
    <row r="54" spans="1:7" x14ac:dyDescent="0.3">
      <c r="A54" t="s">
        <v>3426</v>
      </c>
      <c r="B54" t="s">
        <v>3427</v>
      </c>
      <c r="C54" t="s">
        <v>3320</v>
      </c>
      <c r="D54" t="s">
        <v>154</v>
      </c>
      <c r="E54">
        <v>1219</v>
      </c>
      <c r="F54" t="b">
        <v>1</v>
      </c>
      <c r="G54" t="str">
        <f>HYPERLINK("https://www.google.com/maps/search/?api=1&amp;query=25.70857297,45.8672867", "View Map")</f>
        <v>View Map</v>
      </c>
    </row>
    <row r="55" spans="1:7" x14ac:dyDescent="0.3">
      <c r="A55" t="s">
        <v>3428</v>
      </c>
      <c r="B55" t="s">
        <v>3429</v>
      </c>
      <c r="C55" t="s">
        <v>3339</v>
      </c>
      <c r="D55" t="s">
        <v>10</v>
      </c>
      <c r="E55">
        <v>1209</v>
      </c>
      <c r="F55" t="b">
        <v>1</v>
      </c>
      <c r="G55" t="str">
        <f>HYPERLINK("https://www.google.com/maps/search/?api=1&amp;query=25.11293859,46.10213808", "View Map")</f>
        <v>View Map</v>
      </c>
    </row>
    <row r="56" spans="1:7" x14ac:dyDescent="0.3">
      <c r="A56" t="s">
        <v>3430</v>
      </c>
      <c r="B56" t="s">
        <v>3431</v>
      </c>
      <c r="C56" t="s">
        <v>3325</v>
      </c>
      <c r="D56" t="s">
        <v>10</v>
      </c>
      <c r="E56">
        <v>1201</v>
      </c>
      <c r="F56" t="b">
        <v>0</v>
      </c>
      <c r="G56" t="str">
        <f>HYPERLINK("https://www.google.com/maps/search/?api=1&amp;query=26.30055629,44.79975577", "View Map")</f>
        <v>View Map</v>
      </c>
    </row>
    <row r="57" spans="1:7" x14ac:dyDescent="0.3">
      <c r="A57" t="s">
        <v>3432</v>
      </c>
      <c r="B57" t="s">
        <v>3433</v>
      </c>
      <c r="C57" t="s">
        <v>3320</v>
      </c>
      <c r="D57" t="s">
        <v>10</v>
      </c>
      <c r="E57">
        <v>1199</v>
      </c>
      <c r="F57" t="b">
        <v>0</v>
      </c>
      <c r="G57" t="str">
        <f>HYPERLINK("https://www.google.com/maps/search/?api=1&amp;query=25.55412988,45.68961791", "View Map")</f>
        <v>View Map</v>
      </c>
    </row>
    <row r="58" spans="1:7" x14ac:dyDescent="0.3">
      <c r="A58" t="s">
        <v>3434</v>
      </c>
      <c r="B58" t="s">
        <v>3435</v>
      </c>
      <c r="C58" t="s">
        <v>3328</v>
      </c>
      <c r="D58" t="s">
        <v>10</v>
      </c>
      <c r="E58">
        <v>1187</v>
      </c>
      <c r="F58" t="b">
        <v>1</v>
      </c>
      <c r="G58" t="str">
        <f>HYPERLINK("https://www.google.com/maps/search/?api=1&amp;query=25.22149373,45.28953409", "View Map")</f>
        <v>View Map</v>
      </c>
    </row>
    <row r="59" spans="1:7" x14ac:dyDescent="0.3">
      <c r="A59" t="s">
        <v>3436</v>
      </c>
      <c r="B59" t="s">
        <v>3437</v>
      </c>
      <c r="C59" t="s">
        <v>3320</v>
      </c>
      <c r="D59" t="s">
        <v>10</v>
      </c>
      <c r="E59">
        <v>1184</v>
      </c>
      <c r="F59" t="b">
        <v>1</v>
      </c>
      <c r="G59" t="str">
        <f>HYPERLINK("https://www.google.com/maps/search/?api=1&amp;query=25.62337307,45.57722311", "View Map")</f>
        <v>View Map</v>
      </c>
    </row>
    <row r="60" spans="1:7" x14ac:dyDescent="0.3">
      <c r="A60" t="s">
        <v>3438</v>
      </c>
      <c r="B60" t="s">
        <v>3439</v>
      </c>
      <c r="C60" t="s">
        <v>3325</v>
      </c>
      <c r="D60" t="s">
        <v>10</v>
      </c>
      <c r="E60">
        <v>1179</v>
      </c>
      <c r="F60" t="b">
        <v>0</v>
      </c>
      <c r="G60" t="str">
        <f>HYPERLINK("https://www.google.com/maps/search/?api=1&amp;query=26.30219914,44.82615726", "View Map")</f>
        <v>View Map</v>
      </c>
    </row>
    <row r="61" spans="1:7" x14ac:dyDescent="0.3">
      <c r="A61" t="s">
        <v>3440</v>
      </c>
      <c r="B61" t="s">
        <v>3441</v>
      </c>
      <c r="C61" t="s">
        <v>3325</v>
      </c>
      <c r="D61" t="s">
        <v>10</v>
      </c>
      <c r="E61">
        <v>1176</v>
      </c>
      <c r="F61" t="b">
        <v>0</v>
      </c>
      <c r="G61" t="str">
        <f>HYPERLINK("https://www.google.com/maps/search/?api=1&amp;query=26.30959972,44.81057149", "View Map")</f>
        <v>View Map</v>
      </c>
    </row>
    <row r="62" spans="1:7" x14ac:dyDescent="0.3">
      <c r="A62" t="s">
        <v>3442</v>
      </c>
      <c r="B62" t="s">
        <v>3443</v>
      </c>
      <c r="C62" t="s">
        <v>3325</v>
      </c>
      <c r="D62" t="s">
        <v>10</v>
      </c>
      <c r="E62">
        <v>1170</v>
      </c>
      <c r="F62" t="b">
        <v>0</v>
      </c>
      <c r="G62" t="str">
        <f>HYPERLINK("https://www.google.com/maps/search/?api=1&amp;query=26.31210406,44.79974679", "View Map")</f>
        <v>View Map</v>
      </c>
    </row>
    <row r="63" spans="1:7" x14ac:dyDescent="0.3">
      <c r="A63" t="s">
        <v>3444</v>
      </c>
      <c r="B63" t="s">
        <v>3445</v>
      </c>
      <c r="C63" t="s">
        <v>3328</v>
      </c>
      <c r="D63" t="s">
        <v>154</v>
      </c>
      <c r="E63">
        <v>1168</v>
      </c>
      <c r="F63" t="b">
        <v>1</v>
      </c>
      <c r="G63" t="str">
        <f>HYPERLINK("https://www.google.com/maps/search/?api=1&amp;query=25.25063277,45.23645267", "View Map")</f>
        <v>View Map</v>
      </c>
    </row>
    <row r="64" spans="1:7" x14ac:dyDescent="0.3">
      <c r="A64" t="s">
        <v>3446</v>
      </c>
      <c r="B64" t="s">
        <v>3447</v>
      </c>
      <c r="C64" t="s">
        <v>3325</v>
      </c>
      <c r="D64" t="s">
        <v>10</v>
      </c>
      <c r="E64">
        <v>1163</v>
      </c>
      <c r="F64" t="b">
        <v>1</v>
      </c>
      <c r="G64" t="str">
        <f>HYPERLINK("https://www.google.com/maps/search/?api=1&amp;query=26.30122471,44.83176274", "View Map")</f>
        <v>View Map</v>
      </c>
    </row>
    <row r="65" spans="1:7" x14ac:dyDescent="0.3">
      <c r="A65" t="s">
        <v>3448</v>
      </c>
      <c r="B65" t="s">
        <v>3449</v>
      </c>
      <c r="C65" t="s">
        <v>3320</v>
      </c>
      <c r="D65" t="s">
        <v>10</v>
      </c>
      <c r="E65">
        <v>1160</v>
      </c>
      <c r="F65" t="b">
        <v>0</v>
      </c>
      <c r="G65" t="str">
        <f>HYPERLINK("https://www.google.com/maps/search/?api=1&amp;query=25.89963354,45.33940054", "View Map")</f>
        <v>View Map</v>
      </c>
    </row>
    <row r="66" spans="1:7" x14ac:dyDescent="0.3">
      <c r="A66" t="s">
        <v>3450</v>
      </c>
      <c r="B66" t="s">
        <v>3451</v>
      </c>
      <c r="C66" t="s">
        <v>3325</v>
      </c>
      <c r="D66" t="s">
        <v>10</v>
      </c>
      <c r="E66">
        <v>1155</v>
      </c>
      <c r="F66" t="b">
        <v>0</v>
      </c>
      <c r="G66" t="str">
        <f>HYPERLINK("https://www.google.com/maps/search/?api=1&amp;query=26.43233685,44.69758139", "View Map")</f>
        <v>View Map</v>
      </c>
    </row>
    <row r="67" spans="1:7" x14ac:dyDescent="0.3">
      <c r="A67" t="s">
        <v>3452</v>
      </c>
      <c r="B67" t="s">
        <v>3453</v>
      </c>
      <c r="C67" t="s">
        <v>3325</v>
      </c>
      <c r="D67" t="s">
        <v>10</v>
      </c>
      <c r="E67">
        <v>1153</v>
      </c>
      <c r="F67" t="b">
        <v>0</v>
      </c>
      <c r="G67" t="str">
        <f>HYPERLINK("https://www.google.com/maps/search/?api=1&amp;query=26.30942257,44.82849288", "View Map")</f>
        <v>View Map</v>
      </c>
    </row>
    <row r="68" spans="1:7" x14ac:dyDescent="0.3">
      <c r="A68" t="s">
        <v>3454</v>
      </c>
      <c r="B68" t="s">
        <v>3455</v>
      </c>
      <c r="C68" t="s">
        <v>3325</v>
      </c>
      <c r="D68" t="s">
        <v>10</v>
      </c>
      <c r="E68">
        <v>1147</v>
      </c>
      <c r="F68" t="b">
        <v>0</v>
      </c>
      <c r="G68" t="str">
        <f>HYPERLINK("https://www.google.com/maps/search/?api=1&amp;query=26.29023158,44.81705732", "View Map")</f>
        <v>View Map</v>
      </c>
    </row>
    <row r="69" spans="1:7" x14ac:dyDescent="0.3">
      <c r="A69" t="s">
        <v>3456</v>
      </c>
      <c r="B69" t="s">
        <v>3457</v>
      </c>
      <c r="C69" t="s">
        <v>3325</v>
      </c>
      <c r="D69" t="s">
        <v>10</v>
      </c>
      <c r="E69">
        <v>1144</v>
      </c>
      <c r="F69" t="b">
        <v>0</v>
      </c>
      <c r="G69" t="str">
        <f>HYPERLINK("https://www.google.com/maps/search/?api=1&amp;query=26.29383165,44.83262513", "View Map")</f>
        <v>View Map</v>
      </c>
    </row>
    <row r="70" spans="1:7" x14ac:dyDescent="0.3">
      <c r="A70" t="s">
        <v>3458</v>
      </c>
      <c r="B70" t="s">
        <v>3459</v>
      </c>
      <c r="C70" t="s">
        <v>3320</v>
      </c>
      <c r="D70" t="s">
        <v>10</v>
      </c>
      <c r="E70">
        <v>1143</v>
      </c>
      <c r="F70" t="b">
        <v>0</v>
      </c>
      <c r="G70" t="str">
        <f>HYPERLINK("https://www.google.com/maps/search/?api=1&amp;query=25.61252408,45.55389145", "View Map")</f>
        <v>View Map</v>
      </c>
    </row>
    <row r="71" spans="1:7" x14ac:dyDescent="0.3">
      <c r="A71" t="s">
        <v>3460</v>
      </c>
      <c r="B71" t="s">
        <v>3461</v>
      </c>
      <c r="C71" t="s">
        <v>3339</v>
      </c>
      <c r="D71" t="s">
        <v>10</v>
      </c>
      <c r="E71">
        <v>1132</v>
      </c>
      <c r="F71" t="b">
        <v>0</v>
      </c>
      <c r="G71" t="str">
        <f>HYPERLINK("https://www.google.com/maps/search/?api=1&amp;query=24.91292332,45.86267835", "View Map")</f>
        <v>View Map</v>
      </c>
    </row>
    <row r="72" spans="1:7" x14ac:dyDescent="0.3">
      <c r="A72" t="s">
        <v>3462</v>
      </c>
      <c r="B72" t="s">
        <v>3463</v>
      </c>
      <c r="C72" t="s">
        <v>3320</v>
      </c>
      <c r="D72" t="s">
        <v>10</v>
      </c>
      <c r="E72">
        <v>1129</v>
      </c>
      <c r="F72" t="b">
        <v>0</v>
      </c>
      <c r="G72" t="str">
        <f>HYPERLINK("https://www.google.com/maps/search/?api=1&amp;query=26.49917967,45.34309279", "View Map")</f>
        <v>View Map</v>
      </c>
    </row>
    <row r="73" spans="1:7" x14ac:dyDescent="0.3">
      <c r="A73" t="s">
        <v>3464</v>
      </c>
      <c r="B73" t="s">
        <v>3465</v>
      </c>
      <c r="C73" t="s">
        <v>3325</v>
      </c>
      <c r="D73" t="s">
        <v>10</v>
      </c>
      <c r="E73">
        <v>1127</v>
      </c>
      <c r="F73" t="b">
        <v>1</v>
      </c>
      <c r="G73" t="str">
        <f>HYPERLINK("https://www.google.com/maps/search/?api=1&amp;query=26.29669067,44.79880356", "View Map")</f>
        <v>View Map</v>
      </c>
    </row>
    <row r="74" spans="1:7" x14ac:dyDescent="0.3">
      <c r="A74" t="s">
        <v>3466</v>
      </c>
      <c r="B74" t="s">
        <v>3467</v>
      </c>
      <c r="C74" t="s">
        <v>3325</v>
      </c>
      <c r="D74" t="s">
        <v>10</v>
      </c>
      <c r="E74">
        <v>1126</v>
      </c>
      <c r="F74" t="b">
        <v>0</v>
      </c>
      <c r="G74" t="str">
        <f>HYPERLINK("https://www.google.com/maps/search/?api=1&amp;query=26.30767514,44.81058047", "View Map")</f>
        <v>View Map</v>
      </c>
    </row>
    <row r="75" spans="1:7" x14ac:dyDescent="0.3">
      <c r="A75" t="s">
        <v>3468</v>
      </c>
      <c r="B75" t="s">
        <v>3469</v>
      </c>
      <c r="C75" t="s">
        <v>3325</v>
      </c>
      <c r="D75" t="s">
        <v>10</v>
      </c>
      <c r="E75">
        <v>1121</v>
      </c>
      <c r="F75" t="b">
        <v>0</v>
      </c>
      <c r="G75" t="str">
        <f>HYPERLINK("https://www.google.com/maps/search/?api=1&amp;query=26.31464245,44.81448549", "View Map")</f>
        <v>View Map</v>
      </c>
    </row>
    <row r="76" spans="1:7" x14ac:dyDescent="0.3">
      <c r="A76" t="s">
        <v>3470</v>
      </c>
      <c r="B76" t="s">
        <v>3471</v>
      </c>
      <c r="C76" t="s">
        <v>3325</v>
      </c>
      <c r="D76" t="s">
        <v>10</v>
      </c>
      <c r="E76">
        <v>1121</v>
      </c>
      <c r="F76" t="b">
        <v>1</v>
      </c>
      <c r="G76" t="str">
        <f>HYPERLINK("https://www.google.com/maps/search/?api=1&amp;query=26.3075785,44.80468752", "View Map")</f>
        <v>View Map</v>
      </c>
    </row>
    <row r="77" spans="1:7" x14ac:dyDescent="0.3">
      <c r="A77" t="s">
        <v>3472</v>
      </c>
      <c r="B77" t="s">
        <v>3473</v>
      </c>
      <c r="C77" t="s">
        <v>3339</v>
      </c>
      <c r="D77" t="s">
        <v>10</v>
      </c>
      <c r="E77">
        <v>1113</v>
      </c>
      <c r="F77" t="b">
        <v>1</v>
      </c>
      <c r="G77" t="str">
        <f>HYPERLINK("https://www.google.com/maps/search/?api=1&amp;query=25.10840808,46.1022231", "View Map")</f>
        <v>View Map</v>
      </c>
    </row>
    <row r="78" spans="1:7" x14ac:dyDescent="0.3">
      <c r="A78" t="s">
        <v>3474</v>
      </c>
      <c r="B78" t="s">
        <v>3475</v>
      </c>
      <c r="C78" t="s">
        <v>3339</v>
      </c>
      <c r="D78" t="s">
        <v>10</v>
      </c>
      <c r="E78">
        <v>1102</v>
      </c>
      <c r="F78" t="b">
        <v>1</v>
      </c>
      <c r="G78" t="str">
        <f>HYPERLINK("https://www.google.com/maps/search/?api=1&amp;query=25.11112499,46.0953707", "View Map")</f>
        <v>View Map</v>
      </c>
    </row>
    <row r="79" spans="1:7" x14ac:dyDescent="0.3">
      <c r="A79" t="s">
        <v>3476</v>
      </c>
      <c r="B79" t="s">
        <v>3477</v>
      </c>
      <c r="C79" t="s">
        <v>3325</v>
      </c>
      <c r="D79" t="s">
        <v>10</v>
      </c>
      <c r="E79">
        <v>1101</v>
      </c>
      <c r="F79" t="b">
        <v>0</v>
      </c>
      <c r="G79" t="str">
        <f>HYPERLINK("https://www.google.com/maps/search/?api=1&amp;query=26.30819051,44.80069002", "View Map")</f>
        <v>View Map</v>
      </c>
    </row>
    <row r="80" spans="1:7" x14ac:dyDescent="0.3">
      <c r="A80" t="s">
        <v>3478</v>
      </c>
      <c r="B80" t="s">
        <v>3479</v>
      </c>
      <c r="C80" t="s">
        <v>3325</v>
      </c>
      <c r="D80" t="s">
        <v>10</v>
      </c>
      <c r="E80">
        <v>1092</v>
      </c>
      <c r="F80" t="b">
        <v>1</v>
      </c>
      <c r="G80" t="str">
        <f>HYPERLINK("https://www.google.com/maps/search/?api=1&amp;query=26.29039266,44.82964272", "View Map")</f>
        <v>View Map</v>
      </c>
    </row>
    <row r="81" spans="1:7" x14ac:dyDescent="0.3">
      <c r="A81" t="s">
        <v>3480</v>
      </c>
      <c r="B81" t="s">
        <v>3481</v>
      </c>
      <c r="C81" t="s">
        <v>3325</v>
      </c>
      <c r="D81" t="s">
        <v>10</v>
      </c>
      <c r="E81">
        <v>1091</v>
      </c>
      <c r="F81" t="b">
        <v>1</v>
      </c>
      <c r="G81" t="str">
        <f>HYPERLINK("https://www.google.com/maps/search/?api=1&amp;query=26.29031212,44.8347721", "View Map")</f>
        <v>View Map</v>
      </c>
    </row>
    <row r="82" spans="1:7" x14ac:dyDescent="0.3">
      <c r="A82" t="s">
        <v>3353</v>
      </c>
      <c r="B82" t="s">
        <v>3482</v>
      </c>
      <c r="C82" t="s">
        <v>3325</v>
      </c>
      <c r="D82" t="s">
        <v>10</v>
      </c>
      <c r="E82">
        <v>1088</v>
      </c>
      <c r="F82" t="b">
        <v>1</v>
      </c>
      <c r="G82" t="str">
        <f>HYPERLINK("https://www.google.com/maps/search/?api=1&amp;query=26.33586435,44.80312445", "View Map")</f>
        <v>View Map</v>
      </c>
    </row>
    <row r="83" spans="1:7" x14ac:dyDescent="0.3">
      <c r="A83" t="s">
        <v>3483</v>
      </c>
      <c r="B83" t="s">
        <v>3484</v>
      </c>
      <c r="C83" t="s">
        <v>3325</v>
      </c>
      <c r="D83" t="s">
        <v>10</v>
      </c>
      <c r="E83">
        <v>1088</v>
      </c>
      <c r="F83" t="b">
        <v>0</v>
      </c>
      <c r="G83" t="str">
        <f>HYPERLINK("https://www.google.com/maps/search/?api=1&amp;query=26.32324809,44.78426882", "View Map")</f>
        <v>View Map</v>
      </c>
    </row>
    <row r="84" spans="1:7" x14ac:dyDescent="0.3">
      <c r="A84" t="s">
        <v>3485</v>
      </c>
      <c r="B84" t="s">
        <v>3486</v>
      </c>
      <c r="C84" t="s">
        <v>3320</v>
      </c>
      <c r="D84" t="s">
        <v>10</v>
      </c>
      <c r="E84">
        <v>1084</v>
      </c>
      <c r="F84" t="b">
        <v>0</v>
      </c>
      <c r="G84" t="str">
        <f>HYPERLINK("https://www.google.com/maps/search/?api=1&amp;query=26.50194519,45.34951574", "View Map")</f>
        <v>View Map</v>
      </c>
    </row>
    <row r="85" spans="1:7" x14ac:dyDescent="0.3">
      <c r="A85" t="s">
        <v>3487</v>
      </c>
      <c r="B85" t="s">
        <v>3488</v>
      </c>
      <c r="C85" t="s">
        <v>3325</v>
      </c>
      <c r="D85" t="s">
        <v>10</v>
      </c>
      <c r="E85">
        <v>1077</v>
      </c>
      <c r="F85" t="b">
        <v>0</v>
      </c>
      <c r="G85" t="str">
        <f>HYPERLINK("https://www.google.com/maps/search/?api=1&amp;query=26.29610277,44.83795214", "View Map")</f>
        <v>View Map</v>
      </c>
    </row>
    <row r="86" spans="1:7" x14ac:dyDescent="0.3">
      <c r="A86" t="s">
        <v>3489</v>
      </c>
      <c r="B86" t="s">
        <v>3490</v>
      </c>
      <c r="C86" t="s">
        <v>3325</v>
      </c>
      <c r="D86" t="s">
        <v>10</v>
      </c>
      <c r="E86">
        <v>1076</v>
      </c>
      <c r="F86" t="b">
        <v>0</v>
      </c>
      <c r="G86" t="str">
        <f>HYPERLINK("https://www.google.com/maps/search/?api=1&amp;query=26.33848986,44.78050467", "View Map")</f>
        <v>View Map</v>
      </c>
    </row>
    <row r="87" spans="1:7" x14ac:dyDescent="0.3">
      <c r="A87" t="s">
        <v>3491</v>
      </c>
      <c r="B87" t="s">
        <v>3492</v>
      </c>
      <c r="C87" t="s">
        <v>3325</v>
      </c>
      <c r="D87" t="s">
        <v>10</v>
      </c>
      <c r="E87">
        <v>1075</v>
      </c>
      <c r="F87" t="b">
        <v>1</v>
      </c>
      <c r="G87" t="str">
        <f>HYPERLINK("https://www.google.com/maps/search/?api=1&amp;query=26.29408877,44.78909298", "View Map")</f>
        <v>View Map</v>
      </c>
    </row>
    <row r="88" spans="1:7" x14ac:dyDescent="0.3">
      <c r="A88" t="s">
        <v>3493</v>
      </c>
      <c r="B88" t="s">
        <v>3494</v>
      </c>
      <c r="C88" t="s">
        <v>3325</v>
      </c>
      <c r="D88" t="s">
        <v>10</v>
      </c>
      <c r="E88">
        <v>1071</v>
      </c>
      <c r="F88" t="b">
        <v>0</v>
      </c>
      <c r="G88" t="str">
        <f>HYPERLINK("https://www.google.com/maps/search/?api=1&amp;query=26.29937246,44.88148449", "View Map")</f>
        <v>View Map</v>
      </c>
    </row>
    <row r="89" spans="1:7" x14ac:dyDescent="0.3">
      <c r="A89" t="s">
        <v>3495</v>
      </c>
      <c r="B89" t="s">
        <v>3496</v>
      </c>
      <c r="C89" t="s">
        <v>3325</v>
      </c>
      <c r="D89" t="s">
        <v>10</v>
      </c>
      <c r="E89">
        <v>1071</v>
      </c>
      <c r="F89" t="b">
        <v>1</v>
      </c>
      <c r="G89" t="str">
        <f>HYPERLINK("https://www.google.com/maps/search/?api=1&amp;query=26.30829519,44.81851259", "View Map")</f>
        <v>View Map</v>
      </c>
    </row>
    <row r="90" spans="1:7" x14ac:dyDescent="0.3">
      <c r="A90" t="s">
        <v>3355</v>
      </c>
      <c r="B90" t="s">
        <v>3497</v>
      </c>
      <c r="C90" t="s">
        <v>3339</v>
      </c>
      <c r="D90" t="s">
        <v>10</v>
      </c>
      <c r="E90">
        <v>1054</v>
      </c>
      <c r="F90" t="b">
        <v>1</v>
      </c>
      <c r="G90" t="str">
        <f>HYPERLINK("https://www.google.com/maps/search/?api=1&amp;query=25.17266616,46.33868616", "View Map")</f>
        <v>View Map</v>
      </c>
    </row>
    <row r="91" spans="1:7" x14ac:dyDescent="0.3">
      <c r="A91" t="s">
        <v>3357</v>
      </c>
      <c r="B91" t="s">
        <v>3498</v>
      </c>
      <c r="C91" t="s">
        <v>3320</v>
      </c>
      <c r="D91" t="s">
        <v>10</v>
      </c>
      <c r="E91">
        <v>1051</v>
      </c>
      <c r="F91" t="b">
        <v>0</v>
      </c>
      <c r="G91" t="str">
        <f>HYPERLINK("https://www.google.com/maps/search/?api=1&amp;query=25.58479302,45.69087555", "View Map")</f>
        <v>View Map</v>
      </c>
    </row>
    <row r="92" spans="1:7" x14ac:dyDescent="0.3">
      <c r="A92" t="s">
        <v>3499</v>
      </c>
      <c r="B92" t="s">
        <v>3500</v>
      </c>
      <c r="C92" t="s">
        <v>3325</v>
      </c>
      <c r="D92" t="s">
        <v>10</v>
      </c>
      <c r="E92">
        <v>1030</v>
      </c>
      <c r="F92" t="b">
        <v>1</v>
      </c>
      <c r="G92" t="str">
        <f>HYPERLINK("https://www.google.com/maps/search/?api=1&amp;query=26.29954963,44.81721004", "View Map")</f>
        <v>View Map</v>
      </c>
    </row>
    <row r="93" spans="1:7" x14ac:dyDescent="0.3">
      <c r="A93" t="s">
        <v>3501</v>
      </c>
      <c r="B93" t="s">
        <v>3502</v>
      </c>
      <c r="C93" t="s">
        <v>3325</v>
      </c>
      <c r="D93" t="s">
        <v>10</v>
      </c>
      <c r="E93">
        <v>1025</v>
      </c>
      <c r="F93" t="b">
        <v>0</v>
      </c>
      <c r="G93" t="str">
        <f>HYPERLINK("https://www.google.com/maps/search/?api=1&amp;query=26.29804366,44.81542239", "View Map")</f>
        <v>View Map</v>
      </c>
    </row>
    <row r="94" spans="1:7" x14ac:dyDescent="0.3">
      <c r="A94" t="s">
        <v>3503</v>
      </c>
      <c r="B94" t="s">
        <v>3504</v>
      </c>
      <c r="C94" t="s">
        <v>3325</v>
      </c>
      <c r="D94" t="s">
        <v>10</v>
      </c>
      <c r="E94">
        <v>1018</v>
      </c>
      <c r="F94" t="b">
        <v>0</v>
      </c>
      <c r="G94" t="str">
        <f>HYPERLINK("https://www.google.com/maps/search/?api=1&amp;query=26.30497743,44.79745608", "View Map")</f>
        <v>View Map</v>
      </c>
    </row>
    <row r="95" spans="1:7" x14ac:dyDescent="0.3">
      <c r="A95" t="s">
        <v>3505</v>
      </c>
      <c r="B95" t="s">
        <v>3506</v>
      </c>
      <c r="C95" t="s">
        <v>3325</v>
      </c>
      <c r="D95" t="s">
        <v>10</v>
      </c>
      <c r="E95">
        <v>1012</v>
      </c>
      <c r="F95" t="b">
        <v>0</v>
      </c>
      <c r="G95" t="str">
        <f>HYPERLINK("https://www.google.com/maps/search/?api=1&amp;query=26.31075929,44.80451684", "View Map")</f>
        <v>View Map</v>
      </c>
    </row>
    <row r="96" spans="1:7" x14ac:dyDescent="0.3">
      <c r="A96" t="s">
        <v>3507</v>
      </c>
      <c r="B96" t="s">
        <v>3508</v>
      </c>
      <c r="C96" t="s">
        <v>3320</v>
      </c>
      <c r="D96" t="s">
        <v>10</v>
      </c>
      <c r="E96">
        <v>1012</v>
      </c>
      <c r="F96" t="b">
        <v>1</v>
      </c>
      <c r="G96" t="str">
        <f>HYPERLINK("https://www.google.com/maps/search/?api=1&amp;query=25.74443176,45.84126251", "View Map")</f>
        <v>View Map</v>
      </c>
    </row>
    <row r="97" spans="1:7" x14ac:dyDescent="0.3">
      <c r="A97" t="s">
        <v>3355</v>
      </c>
      <c r="B97" t="s">
        <v>3509</v>
      </c>
      <c r="C97" t="s">
        <v>3339</v>
      </c>
      <c r="D97" t="s">
        <v>10</v>
      </c>
      <c r="E97">
        <v>1011</v>
      </c>
      <c r="F97" t="b">
        <v>0</v>
      </c>
      <c r="G97" t="str">
        <f>HYPERLINK("https://www.google.com/maps/search/?api=1&amp;query=25.10445454,46.09299079", "View Map")</f>
        <v>View Map</v>
      </c>
    </row>
    <row r="98" spans="1:7" x14ac:dyDescent="0.3">
      <c r="A98" t="s">
        <v>3510</v>
      </c>
      <c r="B98" t="s">
        <v>3511</v>
      </c>
      <c r="C98" t="s">
        <v>3320</v>
      </c>
      <c r="D98" t="s">
        <v>10</v>
      </c>
      <c r="E98">
        <v>1007</v>
      </c>
      <c r="F98" t="b">
        <v>1</v>
      </c>
      <c r="G98" t="str">
        <f>HYPERLINK("https://www.google.com/maps/search/?api=1&amp;query=25.55667534,45.68171065", "View Map")</f>
        <v>View Map</v>
      </c>
    </row>
    <row r="99" spans="1:7" x14ac:dyDescent="0.3">
      <c r="A99" t="s">
        <v>3512</v>
      </c>
      <c r="B99" t="s">
        <v>3513</v>
      </c>
      <c r="C99" t="s">
        <v>3320</v>
      </c>
      <c r="D99" t="s">
        <v>10</v>
      </c>
      <c r="E99">
        <v>1001</v>
      </c>
      <c r="F99" t="b">
        <v>0</v>
      </c>
      <c r="G99" t="str">
        <f>HYPERLINK("https://www.google.com/maps/search/?api=1&amp;query=25.91176436,45.37060117", "View Map")</f>
        <v>View Map</v>
      </c>
    </row>
    <row r="100" spans="1:7" x14ac:dyDescent="0.3">
      <c r="A100" t="s">
        <v>3514</v>
      </c>
      <c r="B100" t="s">
        <v>3515</v>
      </c>
      <c r="C100" t="s">
        <v>3320</v>
      </c>
      <c r="D100" t="s">
        <v>10</v>
      </c>
      <c r="E100">
        <v>1000</v>
      </c>
      <c r="F100" t="b">
        <v>0</v>
      </c>
      <c r="G100" t="str">
        <f>HYPERLINK("https://www.google.com/maps/search/?api=1&amp;query=25.67526821,45.45331772", "View Map")</f>
        <v>View Map</v>
      </c>
    </row>
    <row r="101" spans="1:7" x14ac:dyDescent="0.3">
      <c r="A101" t="s">
        <v>3516</v>
      </c>
      <c r="B101" t="s">
        <v>3517</v>
      </c>
      <c r="C101" t="s">
        <v>3325</v>
      </c>
      <c r="D101" t="s">
        <v>10</v>
      </c>
      <c r="E101">
        <v>988</v>
      </c>
      <c r="F101" t="b">
        <v>0</v>
      </c>
      <c r="G101" t="str">
        <f>HYPERLINK("https://www.google.com/maps/search/?api=1&amp;query=26.30604042,44.80007916", "View Map")</f>
        <v>View Map</v>
      </c>
    </row>
    <row r="102" spans="1:7" x14ac:dyDescent="0.3">
      <c r="A102" t="s">
        <v>3518</v>
      </c>
      <c r="B102" t="s">
        <v>3519</v>
      </c>
      <c r="C102" t="s">
        <v>3328</v>
      </c>
      <c r="D102" t="s">
        <v>10</v>
      </c>
      <c r="E102">
        <v>984</v>
      </c>
      <c r="F102" t="b">
        <v>0</v>
      </c>
      <c r="G102" t="str">
        <f>HYPERLINK("https://www.google.com/maps/search/?api=1&amp;query=25.25102779,45.23360559", "View Map")</f>
        <v>View Map</v>
      </c>
    </row>
    <row r="103" spans="1:7" x14ac:dyDescent="0.3">
      <c r="A103" t="s">
        <v>3520</v>
      </c>
      <c r="B103" t="s">
        <v>3521</v>
      </c>
      <c r="C103" t="s">
        <v>3325</v>
      </c>
      <c r="D103" t="s">
        <v>10</v>
      </c>
      <c r="E103">
        <v>978</v>
      </c>
      <c r="F103" t="b">
        <v>0</v>
      </c>
      <c r="G103" t="str">
        <f>HYPERLINK("https://www.google.com/maps/search/?api=1&amp;query=26.29294033,44.79708339", "View Map")</f>
        <v>View Map</v>
      </c>
    </row>
    <row r="104" spans="1:7" x14ac:dyDescent="0.3">
      <c r="A104" t="s">
        <v>3522</v>
      </c>
      <c r="B104" t="s">
        <v>3523</v>
      </c>
      <c r="C104" t="s">
        <v>3328</v>
      </c>
      <c r="D104" t="s">
        <v>10</v>
      </c>
      <c r="E104">
        <v>978</v>
      </c>
      <c r="F104" t="b">
        <v>0</v>
      </c>
      <c r="G104" t="str">
        <f>HYPERLINK("https://www.google.com/maps/search/?api=1&amp;query=25.24704357,45.25112327", "View Map")</f>
        <v>View Map</v>
      </c>
    </row>
    <row r="105" spans="1:7" x14ac:dyDescent="0.3">
      <c r="A105" t="s">
        <v>3353</v>
      </c>
      <c r="B105" t="s">
        <v>3524</v>
      </c>
      <c r="C105" t="s">
        <v>3325</v>
      </c>
      <c r="D105" t="s">
        <v>10</v>
      </c>
      <c r="E105">
        <v>971</v>
      </c>
      <c r="F105" t="b">
        <v>0</v>
      </c>
      <c r="G105" t="str">
        <f>HYPERLINK("https://www.google.com/maps/search/?api=1&amp;query=26.3199066,44.88848237", "View Map")</f>
        <v>View Map</v>
      </c>
    </row>
    <row r="106" spans="1:7" x14ac:dyDescent="0.3">
      <c r="A106" t="s">
        <v>3525</v>
      </c>
      <c r="B106" t="s">
        <v>3526</v>
      </c>
      <c r="C106" t="s">
        <v>3325</v>
      </c>
      <c r="D106" t="s">
        <v>10</v>
      </c>
      <c r="E106">
        <v>968</v>
      </c>
      <c r="F106" t="b">
        <v>0</v>
      </c>
      <c r="G106" t="str">
        <f>HYPERLINK("https://www.google.com/maps/search/?api=1&amp;query=26.33851303,44.78629002", "View Map")</f>
        <v>View Map</v>
      </c>
    </row>
    <row r="107" spans="1:7" x14ac:dyDescent="0.3">
      <c r="A107" t="s">
        <v>3527</v>
      </c>
      <c r="B107" t="s">
        <v>3528</v>
      </c>
      <c r="C107" t="s">
        <v>3325</v>
      </c>
      <c r="D107" t="s">
        <v>10</v>
      </c>
      <c r="E107">
        <v>956</v>
      </c>
      <c r="F107" t="b">
        <v>0</v>
      </c>
      <c r="G107" t="str">
        <f>HYPERLINK("https://www.google.com/maps/search/?api=1&amp;query=26.30356816,44.83177173", "View Map")</f>
        <v>View Map</v>
      </c>
    </row>
    <row r="108" spans="1:7" x14ac:dyDescent="0.3">
      <c r="A108" t="s">
        <v>3321</v>
      </c>
      <c r="B108" t="s">
        <v>3529</v>
      </c>
      <c r="C108" t="s">
        <v>3339</v>
      </c>
      <c r="D108" t="s">
        <v>10</v>
      </c>
      <c r="E108">
        <v>954</v>
      </c>
      <c r="F108" t="b">
        <v>1</v>
      </c>
      <c r="G108" t="str">
        <f>HYPERLINK("https://www.google.com/maps/search/?api=1&amp;query=25.00487819,45.83415925", "View Map")</f>
        <v>View Map</v>
      </c>
    </row>
    <row r="109" spans="1:7" x14ac:dyDescent="0.3">
      <c r="A109" t="s">
        <v>3530</v>
      </c>
      <c r="B109" t="s">
        <v>3531</v>
      </c>
      <c r="C109" t="s">
        <v>3325</v>
      </c>
      <c r="D109" t="s">
        <v>10</v>
      </c>
      <c r="E109">
        <v>952</v>
      </c>
      <c r="F109" t="b">
        <v>0</v>
      </c>
      <c r="G109" t="str">
        <f>HYPERLINK("https://www.google.com/maps/search/?api=1&amp;query=26.29242224,44.82905882", "View Map")</f>
        <v>View Map</v>
      </c>
    </row>
    <row r="110" spans="1:7" x14ac:dyDescent="0.3">
      <c r="A110" t="s">
        <v>3532</v>
      </c>
      <c r="B110" t="s">
        <v>3533</v>
      </c>
      <c r="C110" t="s">
        <v>3339</v>
      </c>
      <c r="D110" t="s">
        <v>10</v>
      </c>
      <c r="E110">
        <v>950</v>
      </c>
      <c r="F110" t="b">
        <v>0</v>
      </c>
      <c r="G110" t="str">
        <f>HYPERLINK("https://www.google.com/maps/search/?api=1&amp;query=25.10589456,46.09221587", "View Map")</f>
        <v>View Map</v>
      </c>
    </row>
    <row r="111" spans="1:7" x14ac:dyDescent="0.3">
      <c r="A111" t="s">
        <v>3534</v>
      </c>
      <c r="B111" t="s">
        <v>3535</v>
      </c>
      <c r="C111" t="s">
        <v>3389</v>
      </c>
      <c r="D111" t="s">
        <v>10</v>
      </c>
      <c r="E111">
        <v>948</v>
      </c>
      <c r="F111" t="b">
        <v>1</v>
      </c>
      <c r="G111" t="str">
        <f>HYPERLINK("https://www.google.com/maps/search/?api=1&amp;query=25.57397179,47.15612234", "View Map")</f>
        <v>View Map</v>
      </c>
    </row>
    <row r="112" spans="1:7" x14ac:dyDescent="0.3">
      <c r="A112" t="s">
        <v>3536</v>
      </c>
      <c r="B112" t="s">
        <v>3537</v>
      </c>
      <c r="C112" t="s">
        <v>3325</v>
      </c>
      <c r="D112" t="s">
        <v>10</v>
      </c>
      <c r="E112">
        <v>945</v>
      </c>
      <c r="F112" t="b">
        <v>0</v>
      </c>
      <c r="G112" t="str">
        <f>HYPERLINK("https://www.google.com/maps/search/?api=1&amp;query=26.30814219,44.82167466", "View Map")</f>
        <v>View Map</v>
      </c>
    </row>
    <row r="113" spans="1:7" x14ac:dyDescent="0.3">
      <c r="A113" t="s">
        <v>3538</v>
      </c>
      <c r="B113" t="s">
        <v>3539</v>
      </c>
      <c r="C113" t="s">
        <v>3328</v>
      </c>
      <c r="D113" t="s">
        <v>10</v>
      </c>
      <c r="E113">
        <v>944</v>
      </c>
      <c r="F113" t="b">
        <v>0</v>
      </c>
      <c r="G113" t="str">
        <f>HYPERLINK("https://www.google.com/maps/search/?api=1&amp;query=25.29597092,45.53238578", "View Map")</f>
        <v>View Map</v>
      </c>
    </row>
    <row r="114" spans="1:7" x14ac:dyDescent="0.3">
      <c r="A114" t="s">
        <v>3353</v>
      </c>
      <c r="B114" t="s">
        <v>3540</v>
      </c>
      <c r="C114" t="s">
        <v>3325</v>
      </c>
      <c r="D114" t="s">
        <v>10</v>
      </c>
      <c r="E114">
        <v>944</v>
      </c>
      <c r="F114" t="b">
        <v>1</v>
      </c>
      <c r="G114" t="str">
        <f>HYPERLINK("https://www.google.com/maps/search/?api=1&amp;query=26.31532499,44.80522651", "View Map")</f>
        <v>View Map</v>
      </c>
    </row>
    <row r="115" spans="1:7" x14ac:dyDescent="0.3">
      <c r="A115" t="s">
        <v>3444</v>
      </c>
      <c r="B115" t="s">
        <v>3541</v>
      </c>
      <c r="C115" t="s">
        <v>3328</v>
      </c>
      <c r="D115" t="s">
        <v>10</v>
      </c>
      <c r="E115">
        <v>937</v>
      </c>
      <c r="F115" t="b">
        <v>1</v>
      </c>
      <c r="G115" t="str">
        <f>HYPERLINK("https://www.google.com/maps/search/?api=1&amp;query=25.22236961,45.29688078", "View Map")</f>
        <v>View Map</v>
      </c>
    </row>
    <row r="116" spans="1:7" x14ac:dyDescent="0.3">
      <c r="A116" t="s">
        <v>3542</v>
      </c>
      <c r="B116" t="s">
        <v>3543</v>
      </c>
      <c r="C116" t="s">
        <v>3325</v>
      </c>
      <c r="D116" t="s">
        <v>10</v>
      </c>
      <c r="E116">
        <v>929</v>
      </c>
      <c r="F116" t="b">
        <v>0</v>
      </c>
      <c r="G116" t="str">
        <f>HYPERLINK("https://www.google.com/maps/search/?api=1&amp;query=26.30538008,44.82100991", "View Map")</f>
        <v>View Map</v>
      </c>
    </row>
    <row r="117" spans="1:7" x14ac:dyDescent="0.3">
      <c r="A117" t="s">
        <v>3544</v>
      </c>
      <c r="B117" t="s">
        <v>3545</v>
      </c>
      <c r="C117" t="s">
        <v>3328</v>
      </c>
      <c r="D117" t="s">
        <v>10</v>
      </c>
      <c r="E117">
        <v>928</v>
      </c>
      <c r="F117" t="b">
        <v>0</v>
      </c>
      <c r="G117" t="str">
        <f>HYPERLINK("https://www.google.com/maps/search/?api=1&amp;query=25.24374475,45.24723356", "View Map")</f>
        <v>View Map</v>
      </c>
    </row>
    <row r="118" spans="1:7" x14ac:dyDescent="0.3">
      <c r="A118" t="s">
        <v>3546</v>
      </c>
      <c r="B118" t="s">
        <v>3547</v>
      </c>
      <c r="C118" t="s">
        <v>3320</v>
      </c>
      <c r="D118" t="s">
        <v>10</v>
      </c>
      <c r="E118">
        <v>928</v>
      </c>
      <c r="F118" t="b">
        <v>0</v>
      </c>
      <c r="G118" t="str">
        <f>HYPERLINK("https://www.google.com/maps/search/?api=1&amp;query=25.64798259,45.56017068", "View Map")</f>
        <v>View Map</v>
      </c>
    </row>
    <row r="119" spans="1:7" x14ac:dyDescent="0.3">
      <c r="A119" t="s">
        <v>3548</v>
      </c>
      <c r="B119" t="s">
        <v>3549</v>
      </c>
      <c r="C119" t="s">
        <v>3325</v>
      </c>
      <c r="D119" t="s">
        <v>10</v>
      </c>
      <c r="E119">
        <v>927</v>
      </c>
      <c r="F119" t="b">
        <v>0</v>
      </c>
      <c r="G119" t="str">
        <f>HYPERLINK("https://www.google.com/maps/search/?api=1&amp;query=26.32371509,44.78584087", "View Map")</f>
        <v>View Map</v>
      </c>
    </row>
    <row r="120" spans="1:7" x14ac:dyDescent="0.3">
      <c r="A120" t="s">
        <v>3550</v>
      </c>
      <c r="B120" t="s">
        <v>3551</v>
      </c>
      <c r="C120" t="s">
        <v>3328</v>
      </c>
      <c r="D120" t="s">
        <v>10</v>
      </c>
      <c r="E120">
        <v>925</v>
      </c>
      <c r="F120" t="b">
        <v>1</v>
      </c>
      <c r="G120" t="str">
        <f>HYPERLINK("https://www.google.com/maps/search/?api=1&amp;query=25.22128746,45.27561947", "View Map")</f>
        <v>View Map</v>
      </c>
    </row>
    <row r="121" spans="1:7" x14ac:dyDescent="0.3">
      <c r="A121" t="s">
        <v>3552</v>
      </c>
      <c r="B121" t="s">
        <v>3553</v>
      </c>
      <c r="C121" t="s">
        <v>3325</v>
      </c>
      <c r="D121" t="s">
        <v>10</v>
      </c>
      <c r="E121">
        <v>922</v>
      </c>
      <c r="F121" t="b">
        <v>1</v>
      </c>
      <c r="G121" t="str">
        <f>HYPERLINK("https://www.google.com/maps/search/?api=1&amp;query=26.27690958,44.83010086", "View Map")</f>
        <v>View Map</v>
      </c>
    </row>
    <row r="122" spans="1:7" x14ac:dyDescent="0.3">
      <c r="A122" t="s">
        <v>3554</v>
      </c>
      <c r="B122" t="s">
        <v>3555</v>
      </c>
      <c r="C122" t="s">
        <v>3328</v>
      </c>
      <c r="D122" t="s">
        <v>10</v>
      </c>
      <c r="E122">
        <v>922</v>
      </c>
      <c r="F122" t="b">
        <v>0</v>
      </c>
      <c r="G122" t="str">
        <f>HYPERLINK("https://www.google.com/maps/search/?api=1&amp;query=25.27243172,45.44254527", "View Map")</f>
        <v>View Map</v>
      </c>
    </row>
    <row r="123" spans="1:7" x14ac:dyDescent="0.3">
      <c r="A123" t="s">
        <v>3556</v>
      </c>
      <c r="B123" t="s">
        <v>3557</v>
      </c>
      <c r="C123" t="s">
        <v>3325</v>
      </c>
      <c r="D123" t="s">
        <v>10</v>
      </c>
      <c r="E123">
        <v>922</v>
      </c>
      <c r="F123" t="b">
        <v>0</v>
      </c>
      <c r="G123" t="str">
        <f>HYPERLINK("https://www.google.com/maps/search/?api=1&amp;query=26.30855288,44.82436063", "View Map")</f>
        <v>View Map</v>
      </c>
    </row>
    <row r="124" spans="1:7" x14ac:dyDescent="0.3">
      <c r="A124" t="s">
        <v>3558</v>
      </c>
      <c r="B124" t="s">
        <v>3559</v>
      </c>
      <c r="C124" t="s">
        <v>3325</v>
      </c>
      <c r="D124" t="s">
        <v>10</v>
      </c>
      <c r="E124">
        <v>910</v>
      </c>
      <c r="F124" t="b">
        <v>0</v>
      </c>
      <c r="G124" t="str">
        <f>HYPERLINK("https://www.google.com/maps/search/?api=1&amp;query=26.2776909,44.82753168", "View Map")</f>
        <v>View Map</v>
      </c>
    </row>
    <row r="125" spans="1:7" x14ac:dyDescent="0.3">
      <c r="A125" t="s">
        <v>3560</v>
      </c>
      <c r="B125" t="s">
        <v>3561</v>
      </c>
      <c r="C125" t="s">
        <v>3325</v>
      </c>
      <c r="D125" t="s">
        <v>10</v>
      </c>
      <c r="E125">
        <v>909</v>
      </c>
      <c r="F125" t="b">
        <v>1</v>
      </c>
      <c r="G125" t="str">
        <f>HYPERLINK("https://www.google.com/maps/search/?api=1&amp;query=26.29904227,44.80084273", "View Map")</f>
        <v>View Map</v>
      </c>
    </row>
    <row r="126" spans="1:7" x14ac:dyDescent="0.3">
      <c r="A126" t="s">
        <v>3562</v>
      </c>
      <c r="B126" t="s">
        <v>3563</v>
      </c>
      <c r="C126" t="s">
        <v>3325</v>
      </c>
      <c r="D126" t="s">
        <v>10</v>
      </c>
      <c r="E126">
        <v>905</v>
      </c>
      <c r="F126" t="b">
        <v>0</v>
      </c>
      <c r="G126" t="str">
        <f>HYPERLINK("https://www.google.com/maps/search/?api=1&amp;query=26.3322978,44.82928339", "View Map")</f>
        <v>View Map</v>
      </c>
    </row>
    <row r="127" spans="1:7" x14ac:dyDescent="0.3">
      <c r="A127" t="s">
        <v>3564</v>
      </c>
      <c r="B127" t="s">
        <v>3565</v>
      </c>
      <c r="C127" t="s">
        <v>3325</v>
      </c>
      <c r="D127" t="s">
        <v>10</v>
      </c>
      <c r="E127">
        <v>904</v>
      </c>
      <c r="F127" t="b">
        <v>1</v>
      </c>
      <c r="G127" t="str">
        <f>HYPERLINK("https://www.google.com/maps/search/?api=1&amp;query=26.31013688,44.81486273", "View Map")</f>
        <v>View Map</v>
      </c>
    </row>
    <row r="128" spans="1:7" x14ac:dyDescent="0.3">
      <c r="A128" t="s">
        <v>3566</v>
      </c>
      <c r="B128" t="s">
        <v>3567</v>
      </c>
      <c r="C128" t="s">
        <v>3325</v>
      </c>
      <c r="D128" t="s">
        <v>10</v>
      </c>
      <c r="E128">
        <v>903</v>
      </c>
      <c r="F128" t="b">
        <v>0</v>
      </c>
      <c r="G128" t="str">
        <f>HYPERLINK("https://www.google.com/maps/search/?api=1&amp;query=26.34047736,44.78010962", "View Map")</f>
        <v>View Map</v>
      </c>
    </row>
    <row r="129" spans="1:7" x14ac:dyDescent="0.3">
      <c r="A129" t="s">
        <v>3353</v>
      </c>
      <c r="B129" t="s">
        <v>3568</v>
      </c>
      <c r="C129" t="s">
        <v>3325</v>
      </c>
      <c r="D129" t="s">
        <v>10</v>
      </c>
      <c r="E129">
        <v>902</v>
      </c>
      <c r="F129" t="b">
        <v>0</v>
      </c>
      <c r="G129" t="str">
        <f>HYPERLINK("https://www.google.com/maps/search/?api=1&amp;query=26.31819154,44.88778169", "View Map")</f>
        <v>View Map</v>
      </c>
    </row>
    <row r="130" spans="1:7" x14ac:dyDescent="0.3">
      <c r="A130" t="s">
        <v>3569</v>
      </c>
      <c r="B130" t="s">
        <v>3570</v>
      </c>
      <c r="C130" t="s">
        <v>3325</v>
      </c>
      <c r="D130" t="s">
        <v>10</v>
      </c>
      <c r="E130">
        <v>894</v>
      </c>
      <c r="F130" t="b">
        <v>1</v>
      </c>
      <c r="G130" t="str">
        <f>HYPERLINK("https://www.google.com/maps/search/?api=1&amp;query=26.29294404,44.83806913", "View Map")</f>
        <v>View Map</v>
      </c>
    </row>
    <row r="131" spans="1:7" x14ac:dyDescent="0.3">
      <c r="A131" t="s">
        <v>3571</v>
      </c>
      <c r="B131" t="s">
        <v>3572</v>
      </c>
      <c r="C131" t="s">
        <v>3325</v>
      </c>
      <c r="D131" t="s">
        <v>10</v>
      </c>
      <c r="E131">
        <v>888</v>
      </c>
      <c r="F131" t="b">
        <v>0</v>
      </c>
      <c r="G131" t="str">
        <f>HYPERLINK("https://www.google.com/maps/search/?api=1&amp;query=26.29369473,44.81495526", "View Map")</f>
        <v>View Map</v>
      </c>
    </row>
    <row r="132" spans="1:7" x14ac:dyDescent="0.3">
      <c r="A132" t="s">
        <v>3573</v>
      </c>
      <c r="B132" t="s">
        <v>3574</v>
      </c>
      <c r="C132" t="s">
        <v>3325</v>
      </c>
      <c r="D132" t="s">
        <v>10</v>
      </c>
      <c r="E132">
        <v>880</v>
      </c>
      <c r="F132" t="b">
        <v>0</v>
      </c>
      <c r="G132" t="str">
        <f>HYPERLINK("https://www.google.com/maps/search/?api=1&amp;query=26.28745018,44.82072228", "View Map")</f>
        <v>View Map</v>
      </c>
    </row>
    <row r="133" spans="1:7" x14ac:dyDescent="0.3">
      <c r="A133" t="s">
        <v>3575</v>
      </c>
      <c r="B133" t="s">
        <v>3576</v>
      </c>
      <c r="C133" t="s">
        <v>3320</v>
      </c>
      <c r="D133" t="s">
        <v>10</v>
      </c>
      <c r="E133">
        <v>879</v>
      </c>
      <c r="F133" t="b">
        <v>0</v>
      </c>
      <c r="G133" t="str">
        <f>HYPERLINK("https://www.google.com/maps/search/?api=1&amp;query=25.71420621,45.85951628", "View Map")</f>
        <v>View Map</v>
      </c>
    </row>
    <row r="134" spans="1:7" x14ac:dyDescent="0.3">
      <c r="A134" t="s">
        <v>3577</v>
      </c>
      <c r="B134" t="s">
        <v>3578</v>
      </c>
      <c r="C134" t="s">
        <v>3320</v>
      </c>
      <c r="D134" t="s">
        <v>10</v>
      </c>
      <c r="E134">
        <v>879</v>
      </c>
      <c r="F134" t="b">
        <v>0</v>
      </c>
      <c r="G134" t="str">
        <f>HYPERLINK("https://www.google.com/maps/search/?api=1&amp;query=25.67305151,45.45895749", "View Map")</f>
        <v>View Map</v>
      </c>
    </row>
    <row r="135" spans="1:7" x14ac:dyDescent="0.3">
      <c r="A135" t="s">
        <v>3579</v>
      </c>
      <c r="B135" t="s">
        <v>3580</v>
      </c>
      <c r="C135" t="s">
        <v>3320</v>
      </c>
      <c r="D135" t="s">
        <v>10</v>
      </c>
      <c r="E135">
        <v>874</v>
      </c>
      <c r="F135" t="b">
        <v>0</v>
      </c>
      <c r="G135" t="str">
        <f>HYPERLINK("https://www.google.com/maps/search/?api=1&amp;query=25.92216,45.38416", "View Map")</f>
        <v>View Map</v>
      </c>
    </row>
    <row r="136" spans="1:7" x14ac:dyDescent="0.3">
      <c r="A136" t="s">
        <v>3581</v>
      </c>
      <c r="B136" t="s">
        <v>3582</v>
      </c>
      <c r="C136" t="s">
        <v>3325</v>
      </c>
      <c r="D136" t="s">
        <v>10</v>
      </c>
      <c r="E136">
        <v>871</v>
      </c>
      <c r="F136" t="b">
        <v>0</v>
      </c>
      <c r="G136" t="str">
        <f>HYPERLINK("https://www.google.com/maps/search/?api=1&amp;query=26.30174817,44.82904085", "View Map")</f>
        <v>View Map</v>
      </c>
    </row>
    <row r="137" spans="1:7" x14ac:dyDescent="0.3">
      <c r="A137" t="s">
        <v>3583</v>
      </c>
      <c r="B137" t="s">
        <v>3584</v>
      </c>
      <c r="C137" t="s">
        <v>3325</v>
      </c>
      <c r="D137" t="s">
        <v>10</v>
      </c>
      <c r="E137">
        <v>871</v>
      </c>
      <c r="F137" t="b">
        <v>0</v>
      </c>
      <c r="G137" t="str">
        <f>HYPERLINK("https://www.google.com/maps/search/?api=1&amp;query=26.31086632,44.79312545", "View Map")</f>
        <v>View Map</v>
      </c>
    </row>
    <row r="138" spans="1:7" x14ac:dyDescent="0.3">
      <c r="A138" t="s">
        <v>3585</v>
      </c>
      <c r="B138" t="s">
        <v>3586</v>
      </c>
      <c r="C138" t="s">
        <v>3325</v>
      </c>
      <c r="D138" t="s">
        <v>10</v>
      </c>
      <c r="E138">
        <v>867</v>
      </c>
      <c r="F138" t="b">
        <v>0</v>
      </c>
      <c r="G138" t="str">
        <f>HYPERLINK("https://www.google.com/maps/search/?api=1&amp;query=26.31422183,44.82127042", "View Map")</f>
        <v>View Map</v>
      </c>
    </row>
    <row r="139" spans="1:7" x14ac:dyDescent="0.3">
      <c r="A139" t="s">
        <v>3587</v>
      </c>
      <c r="B139" t="s">
        <v>3588</v>
      </c>
      <c r="C139" t="s">
        <v>3325</v>
      </c>
      <c r="D139" t="s">
        <v>10</v>
      </c>
      <c r="E139">
        <v>866</v>
      </c>
      <c r="F139" t="b">
        <v>0</v>
      </c>
      <c r="G139" t="str">
        <f>HYPERLINK("https://www.google.com/maps/search/?api=1&amp;query=26.32018842,44.81623087", "View Map")</f>
        <v>View Map</v>
      </c>
    </row>
    <row r="140" spans="1:7" x14ac:dyDescent="0.3">
      <c r="A140" t="s">
        <v>3589</v>
      </c>
      <c r="B140" t="s">
        <v>3590</v>
      </c>
      <c r="C140" t="s">
        <v>3325</v>
      </c>
      <c r="D140" t="s">
        <v>10</v>
      </c>
      <c r="E140">
        <v>864</v>
      </c>
      <c r="F140" t="b">
        <v>0</v>
      </c>
      <c r="G140" t="str">
        <f>HYPERLINK("https://www.google.com/maps/search/?api=1&amp;query=26.29608748,44.80726258", "View Map")</f>
        <v>View Map</v>
      </c>
    </row>
    <row r="141" spans="1:7" x14ac:dyDescent="0.3">
      <c r="A141" t="s">
        <v>3591</v>
      </c>
      <c r="B141" t="s">
        <v>3592</v>
      </c>
      <c r="C141" t="s">
        <v>3325</v>
      </c>
      <c r="D141" t="s">
        <v>10</v>
      </c>
      <c r="E141">
        <v>863</v>
      </c>
      <c r="F141" t="b">
        <v>1</v>
      </c>
      <c r="G141" t="str">
        <f>HYPERLINK("https://www.google.com/maps/search/?api=1&amp;query=26.29795131,44.80020247", "View Map")</f>
        <v>View Map</v>
      </c>
    </row>
    <row r="142" spans="1:7" x14ac:dyDescent="0.3">
      <c r="A142" t="s">
        <v>3593</v>
      </c>
      <c r="B142" t="s">
        <v>3594</v>
      </c>
      <c r="C142" t="s">
        <v>3325</v>
      </c>
      <c r="D142" t="s">
        <v>10</v>
      </c>
      <c r="E142">
        <v>861</v>
      </c>
      <c r="F142" t="b">
        <v>0</v>
      </c>
      <c r="G142" t="str">
        <f>HYPERLINK("https://www.google.com/maps/search/?api=1&amp;query=26.33705586,44.79193144", "View Map")</f>
        <v>View Map</v>
      </c>
    </row>
    <row r="143" spans="1:7" x14ac:dyDescent="0.3">
      <c r="A143" t="s">
        <v>3595</v>
      </c>
      <c r="B143" t="s">
        <v>3596</v>
      </c>
      <c r="C143" t="s">
        <v>3339</v>
      </c>
      <c r="D143" t="s">
        <v>10</v>
      </c>
      <c r="E143">
        <v>857</v>
      </c>
      <c r="F143" t="b">
        <v>0</v>
      </c>
      <c r="G143" t="str">
        <f>HYPERLINK("https://www.google.com/maps/search/?api=1&amp;query=25.11607965,46.1047303", "View Map")</f>
        <v>View Map</v>
      </c>
    </row>
    <row r="144" spans="1:7" x14ac:dyDescent="0.3">
      <c r="A144" t="s">
        <v>3597</v>
      </c>
      <c r="B144" t="s">
        <v>3598</v>
      </c>
      <c r="C144" t="s">
        <v>3320</v>
      </c>
      <c r="D144" t="s">
        <v>10</v>
      </c>
      <c r="E144">
        <v>856</v>
      </c>
      <c r="F144" t="b">
        <v>0</v>
      </c>
      <c r="G144" t="str">
        <f>HYPERLINK("https://www.google.com/maps/search/?api=1&amp;query=25.91118142,45.36422539", "View Map")</f>
        <v>View Map</v>
      </c>
    </row>
    <row r="145" spans="1:7" x14ac:dyDescent="0.3">
      <c r="A145" t="s">
        <v>3599</v>
      </c>
      <c r="B145" t="s">
        <v>3600</v>
      </c>
      <c r="C145" t="s">
        <v>3320</v>
      </c>
      <c r="D145" t="s">
        <v>10</v>
      </c>
      <c r="E145">
        <v>854</v>
      </c>
      <c r="F145" t="b">
        <v>1</v>
      </c>
      <c r="G145" t="str">
        <f>HYPERLINK("https://www.google.com/maps/search/?api=1&amp;query=25.69811975,45.88575973", "View Map")</f>
        <v>View Map</v>
      </c>
    </row>
    <row r="146" spans="1:7" x14ac:dyDescent="0.3">
      <c r="A146" t="s">
        <v>3601</v>
      </c>
      <c r="B146" t="s">
        <v>3602</v>
      </c>
      <c r="C146" t="s">
        <v>3325</v>
      </c>
      <c r="D146" t="s">
        <v>10</v>
      </c>
      <c r="E146">
        <v>853</v>
      </c>
      <c r="F146" t="b">
        <v>0</v>
      </c>
      <c r="G146" t="str">
        <f>HYPERLINK("https://www.google.com/maps/search/?api=1&amp;query=26.29032823,44.8122693", "View Map")</f>
        <v>View Map</v>
      </c>
    </row>
    <row r="147" spans="1:7" x14ac:dyDescent="0.3">
      <c r="A147" t="s">
        <v>3603</v>
      </c>
      <c r="B147" t="s">
        <v>3604</v>
      </c>
      <c r="C147" t="s">
        <v>3320</v>
      </c>
      <c r="D147" t="s">
        <v>10</v>
      </c>
      <c r="E147">
        <v>851</v>
      </c>
      <c r="F147" t="b">
        <v>0</v>
      </c>
      <c r="G147" t="str">
        <f>HYPERLINK("https://www.google.com/maps/search/?api=1&amp;query=25.70170109,45.45054606", "View Map")</f>
        <v>View Map</v>
      </c>
    </row>
    <row r="148" spans="1:7" x14ac:dyDescent="0.3">
      <c r="A148" t="s">
        <v>3605</v>
      </c>
      <c r="B148" t="s">
        <v>3606</v>
      </c>
      <c r="C148" t="s">
        <v>3325</v>
      </c>
      <c r="D148" t="s">
        <v>10</v>
      </c>
      <c r="E148">
        <v>850</v>
      </c>
      <c r="F148" t="b">
        <v>0</v>
      </c>
      <c r="G148" t="str">
        <f>HYPERLINK("https://www.google.com/maps/search/?api=1&amp;query=26.29557123,44.81939294", "View Map")</f>
        <v>View Map</v>
      </c>
    </row>
    <row r="149" spans="1:7" x14ac:dyDescent="0.3">
      <c r="A149" t="s">
        <v>3607</v>
      </c>
      <c r="B149" t="s">
        <v>3608</v>
      </c>
      <c r="C149" t="s">
        <v>3325</v>
      </c>
      <c r="D149" t="s">
        <v>154</v>
      </c>
      <c r="E149">
        <v>850</v>
      </c>
      <c r="F149" t="b">
        <v>1</v>
      </c>
      <c r="G149" t="str">
        <f>HYPERLINK("https://www.google.com/maps/search/?api=1&amp;query=26.29270412,44.81956362", "View Map")</f>
        <v>View Map</v>
      </c>
    </row>
    <row r="150" spans="1:7" x14ac:dyDescent="0.3">
      <c r="A150" t="s">
        <v>3609</v>
      </c>
      <c r="B150" t="s">
        <v>3610</v>
      </c>
      <c r="C150" t="s">
        <v>3325</v>
      </c>
      <c r="D150" t="s">
        <v>10</v>
      </c>
      <c r="E150">
        <v>849</v>
      </c>
      <c r="F150" t="b">
        <v>0</v>
      </c>
      <c r="G150" t="str">
        <f>HYPERLINK("https://www.google.com/maps/search/?api=1&amp;query=26.31151623,44.81868327", "View Map")</f>
        <v>View Map</v>
      </c>
    </row>
    <row r="151" spans="1:7" x14ac:dyDescent="0.3">
      <c r="A151" t="s">
        <v>3611</v>
      </c>
      <c r="B151" t="s">
        <v>3612</v>
      </c>
      <c r="C151" t="s">
        <v>3325</v>
      </c>
      <c r="D151" t="s">
        <v>10</v>
      </c>
      <c r="E151">
        <v>848</v>
      </c>
      <c r="F151" t="b">
        <v>1</v>
      </c>
      <c r="G151" t="str">
        <f>HYPERLINK("https://www.google.com/maps/search/?api=1&amp;query=26.29433903,44.80953842", "View Map")</f>
        <v>View Map</v>
      </c>
    </row>
    <row r="152" spans="1:7" x14ac:dyDescent="0.3">
      <c r="A152" t="s">
        <v>3613</v>
      </c>
      <c r="B152" t="s">
        <v>3614</v>
      </c>
      <c r="C152" t="s">
        <v>3320</v>
      </c>
      <c r="D152" t="s">
        <v>10</v>
      </c>
      <c r="E152">
        <v>847</v>
      </c>
      <c r="F152" t="b">
        <v>0</v>
      </c>
      <c r="G152" t="str">
        <f>HYPERLINK("https://www.google.com/maps/search/?api=1&amp;query=25.60300567,45.60829343", "View Map")</f>
        <v>View Map</v>
      </c>
    </row>
    <row r="153" spans="1:7" x14ac:dyDescent="0.3">
      <c r="A153" t="s">
        <v>3615</v>
      </c>
      <c r="B153" t="s">
        <v>3616</v>
      </c>
      <c r="C153" t="s">
        <v>3325</v>
      </c>
      <c r="D153" t="s">
        <v>10</v>
      </c>
      <c r="E153">
        <v>842</v>
      </c>
      <c r="F153" t="b">
        <v>0</v>
      </c>
      <c r="G153" t="str">
        <f>HYPERLINK("https://www.google.com/maps/search/?api=1&amp;query=26.30694233,44.79703388", "View Map")</f>
        <v>View Map</v>
      </c>
    </row>
    <row r="154" spans="1:7" x14ac:dyDescent="0.3">
      <c r="A154" t="s">
        <v>3617</v>
      </c>
      <c r="B154" t="s">
        <v>3618</v>
      </c>
      <c r="C154" t="s">
        <v>3325</v>
      </c>
      <c r="D154" t="s">
        <v>10</v>
      </c>
      <c r="E154">
        <v>834</v>
      </c>
      <c r="F154" t="b">
        <v>1</v>
      </c>
      <c r="G154" t="str">
        <f>HYPERLINK("https://www.google.com/maps/search/?api=1&amp;query=26.30147921,44.79722731", "View Map")</f>
        <v>View Map</v>
      </c>
    </row>
    <row r="155" spans="1:7" x14ac:dyDescent="0.3">
      <c r="A155" t="s">
        <v>3619</v>
      </c>
      <c r="B155" t="s">
        <v>3620</v>
      </c>
      <c r="C155" t="s">
        <v>3352</v>
      </c>
      <c r="D155" t="s">
        <v>154</v>
      </c>
      <c r="E155">
        <v>833</v>
      </c>
      <c r="F155" t="b">
        <v>0</v>
      </c>
      <c r="G155" t="str">
        <f>HYPERLINK("https://www.google.com/maps/search/?api=1&amp;query=25.11646891,45.48871868", "View Map")</f>
        <v>View Map</v>
      </c>
    </row>
    <row r="156" spans="1:7" x14ac:dyDescent="0.3">
      <c r="A156" t="s">
        <v>3621</v>
      </c>
      <c r="B156" t="s">
        <v>3622</v>
      </c>
      <c r="C156" t="s">
        <v>3325</v>
      </c>
      <c r="D156" t="s">
        <v>10</v>
      </c>
      <c r="E156">
        <v>833</v>
      </c>
      <c r="F156" t="b">
        <v>0</v>
      </c>
      <c r="G156" t="str">
        <f>HYPERLINK("https://www.google.com/maps/search/?api=1&amp;query=26.25151732,44.80696679", "View Map")</f>
        <v>View Map</v>
      </c>
    </row>
    <row r="157" spans="1:7" x14ac:dyDescent="0.3">
      <c r="A157" t="s">
        <v>3623</v>
      </c>
      <c r="B157" t="s">
        <v>3624</v>
      </c>
      <c r="C157" t="s">
        <v>3320</v>
      </c>
      <c r="D157" t="s">
        <v>10</v>
      </c>
      <c r="E157">
        <v>833</v>
      </c>
      <c r="F157" t="b">
        <v>0</v>
      </c>
      <c r="G157" t="str">
        <f>HYPERLINK("https://www.google.com/maps/search/?api=1&amp;query=25.62754224,45.5687825", "View Map")</f>
        <v>View Map</v>
      </c>
    </row>
    <row r="158" spans="1:7" x14ac:dyDescent="0.3">
      <c r="A158" t="s">
        <v>3625</v>
      </c>
      <c r="B158" t="s">
        <v>3626</v>
      </c>
      <c r="C158" t="s">
        <v>3325</v>
      </c>
      <c r="D158" t="s">
        <v>10</v>
      </c>
      <c r="E158">
        <v>827</v>
      </c>
      <c r="F158" t="b">
        <v>0</v>
      </c>
      <c r="G158" t="str">
        <f>HYPERLINK("https://www.google.com/maps/search/?api=1&amp;query=26.34261876,44.78428678", "View Map")</f>
        <v>View Map</v>
      </c>
    </row>
    <row r="159" spans="1:7" x14ac:dyDescent="0.3">
      <c r="A159" t="s">
        <v>3627</v>
      </c>
      <c r="B159" t="s">
        <v>3628</v>
      </c>
      <c r="C159" t="s">
        <v>3320</v>
      </c>
      <c r="D159" t="s">
        <v>10</v>
      </c>
      <c r="E159">
        <v>826</v>
      </c>
      <c r="F159" t="b">
        <v>0</v>
      </c>
      <c r="G159" t="str">
        <f>HYPERLINK("https://www.google.com/maps/search/?api=1&amp;query=25.67345744,45.45611219", "View Map")</f>
        <v>View Map</v>
      </c>
    </row>
    <row r="160" spans="1:7" x14ac:dyDescent="0.3">
      <c r="A160" t="s">
        <v>3629</v>
      </c>
      <c r="B160" t="s">
        <v>3630</v>
      </c>
      <c r="C160" t="s">
        <v>3323</v>
      </c>
      <c r="D160" t="s">
        <v>154</v>
      </c>
      <c r="E160">
        <v>821</v>
      </c>
      <c r="F160" t="b">
        <v>1</v>
      </c>
      <c r="G160" t="str">
        <f>HYPERLINK("https://www.google.com/maps/search/?api=1&amp;query=25.28549154,45.86457047", "View Map")</f>
        <v>View Map</v>
      </c>
    </row>
    <row r="161" spans="1:7" x14ac:dyDescent="0.3">
      <c r="A161" t="s">
        <v>3631</v>
      </c>
      <c r="B161" t="s">
        <v>3632</v>
      </c>
      <c r="C161" t="s">
        <v>3328</v>
      </c>
      <c r="D161" t="s">
        <v>10</v>
      </c>
      <c r="E161">
        <v>820</v>
      </c>
      <c r="F161" t="b">
        <v>0</v>
      </c>
      <c r="G161" t="str">
        <f>HYPERLINK("https://www.google.com/maps/search/?api=1&amp;query=25.33810752,45.18014738", "View Map")</f>
        <v>View Map</v>
      </c>
    </row>
    <row r="162" spans="1:7" x14ac:dyDescent="0.3">
      <c r="A162" t="s">
        <v>3633</v>
      </c>
      <c r="B162" t="s">
        <v>3634</v>
      </c>
      <c r="C162" t="s">
        <v>3325</v>
      </c>
      <c r="D162" t="s">
        <v>10</v>
      </c>
      <c r="E162">
        <v>818</v>
      </c>
      <c r="F162" t="b">
        <v>0</v>
      </c>
      <c r="G162" t="str">
        <f>HYPERLINK("https://www.google.com/maps/search/?api=1&amp;query=26.32214501,44.82168365", "View Map")</f>
        <v>View Map</v>
      </c>
    </row>
    <row r="163" spans="1:7" x14ac:dyDescent="0.3">
      <c r="A163" t="s">
        <v>3635</v>
      </c>
      <c r="B163" t="s">
        <v>3636</v>
      </c>
      <c r="C163" t="s">
        <v>3325</v>
      </c>
      <c r="D163" t="s">
        <v>10</v>
      </c>
      <c r="E163">
        <v>816</v>
      </c>
      <c r="F163" t="b">
        <v>0</v>
      </c>
      <c r="G163" t="str">
        <f>HYPERLINK("https://www.google.com/maps/search/?api=1&amp;query=26.31033251,44.89312666", "View Map")</f>
        <v>View Map</v>
      </c>
    </row>
    <row r="164" spans="1:7" x14ac:dyDescent="0.3">
      <c r="A164" t="s">
        <v>3637</v>
      </c>
      <c r="B164" t="s">
        <v>3638</v>
      </c>
      <c r="C164" t="s">
        <v>3320</v>
      </c>
      <c r="D164" t="s">
        <v>10</v>
      </c>
      <c r="E164">
        <v>791</v>
      </c>
      <c r="F164" t="b">
        <v>0</v>
      </c>
      <c r="G164" t="str">
        <f>HYPERLINK("https://www.google.com/maps/search/?api=1&amp;query=25.71867485,45.85883406", "View Map")</f>
        <v>View Map</v>
      </c>
    </row>
    <row r="165" spans="1:7" x14ac:dyDescent="0.3">
      <c r="A165" t="s">
        <v>3639</v>
      </c>
      <c r="B165" t="s">
        <v>3640</v>
      </c>
      <c r="C165" t="s">
        <v>3320</v>
      </c>
      <c r="D165" t="s">
        <v>154</v>
      </c>
      <c r="E165">
        <v>791</v>
      </c>
      <c r="F165" t="b">
        <v>0</v>
      </c>
      <c r="G165" t="str">
        <f>HYPERLINK("https://www.google.com/maps/search/?api=1&amp;query=25.90609461,45.39241928", "View Map")</f>
        <v>View Map</v>
      </c>
    </row>
    <row r="166" spans="1:7" x14ac:dyDescent="0.3">
      <c r="A166" t="s">
        <v>3641</v>
      </c>
      <c r="B166" t="s">
        <v>3642</v>
      </c>
      <c r="C166" t="s">
        <v>3320</v>
      </c>
      <c r="D166" t="s">
        <v>10</v>
      </c>
      <c r="E166">
        <v>790</v>
      </c>
      <c r="F166" t="b">
        <v>0</v>
      </c>
      <c r="G166" t="str">
        <f>HYPERLINK("https://www.google.com/maps/search/?api=1&amp;query=25.91176436,45.37060117", "View Map")</f>
        <v>View Map</v>
      </c>
    </row>
    <row r="167" spans="1:7" x14ac:dyDescent="0.3">
      <c r="A167" t="s">
        <v>3643</v>
      </c>
      <c r="B167" t="s">
        <v>3644</v>
      </c>
      <c r="C167" t="s">
        <v>3325</v>
      </c>
      <c r="D167" t="s">
        <v>10</v>
      </c>
      <c r="E167">
        <v>788</v>
      </c>
      <c r="F167" t="b">
        <v>0</v>
      </c>
      <c r="G167" t="str">
        <f>HYPERLINK("https://www.google.com/maps/search/?api=1&amp;query=26.31683074,44.7966476", "View Map")</f>
        <v>View Map</v>
      </c>
    </row>
    <row r="168" spans="1:7" x14ac:dyDescent="0.3">
      <c r="A168" t="s">
        <v>3645</v>
      </c>
      <c r="B168" t="s">
        <v>3646</v>
      </c>
      <c r="C168" t="s">
        <v>3339</v>
      </c>
      <c r="D168" t="s">
        <v>10</v>
      </c>
      <c r="E168">
        <v>782</v>
      </c>
      <c r="F168" t="b">
        <v>1</v>
      </c>
      <c r="G168" t="str">
        <f>HYPERLINK("https://www.google.com/maps/search/?api=1&amp;query=25.14251227,46.26969448", "View Map")</f>
        <v>View Map</v>
      </c>
    </row>
    <row r="169" spans="1:7" x14ac:dyDescent="0.3">
      <c r="A169" t="s">
        <v>3647</v>
      </c>
      <c r="B169" t="s">
        <v>3648</v>
      </c>
      <c r="C169" t="s">
        <v>3325</v>
      </c>
      <c r="D169" t="s">
        <v>10</v>
      </c>
      <c r="E169">
        <v>775</v>
      </c>
      <c r="F169" t="b">
        <v>0</v>
      </c>
      <c r="G169" t="str">
        <f>HYPERLINK("https://www.google.com/maps/search/?api=1&amp;query=26.30076037,44.7985471", "View Map")</f>
        <v>View Map</v>
      </c>
    </row>
    <row r="170" spans="1:7" x14ac:dyDescent="0.3">
      <c r="A170" t="s">
        <v>3649</v>
      </c>
      <c r="B170" t="s">
        <v>3650</v>
      </c>
      <c r="C170" t="s">
        <v>3320</v>
      </c>
      <c r="D170" t="s">
        <v>10</v>
      </c>
      <c r="E170">
        <v>775</v>
      </c>
      <c r="F170" t="b">
        <v>0</v>
      </c>
      <c r="G170" t="str">
        <f>HYPERLINK("https://www.google.com/maps/search/?api=1&amp;query=25.67378258,45.45701651", "View Map")</f>
        <v>View Map</v>
      </c>
    </row>
    <row r="171" spans="1:7" x14ac:dyDescent="0.3">
      <c r="A171" t="s">
        <v>3651</v>
      </c>
      <c r="B171" t="s">
        <v>3652</v>
      </c>
      <c r="C171" t="s">
        <v>3320</v>
      </c>
      <c r="D171" t="s">
        <v>10</v>
      </c>
      <c r="E171">
        <v>774</v>
      </c>
      <c r="F171" t="b">
        <v>0</v>
      </c>
      <c r="G171" t="str">
        <f>HYPERLINK("https://www.google.com/maps/search/?api=1&amp;query=25.9178453,45.3854964", "View Map")</f>
        <v>View Map</v>
      </c>
    </row>
    <row r="172" spans="1:7" x14ac:dyDescent="0.3">
      <c r="A172" t="s">
        <v>3653</v>
      </c>
      <c r="B172" t="s">
        <v>3654</v>
      </c>
      <c r="C172" t="s">
        <v>3320</v>
      </c>
      <c r="D172" t="s">
        <v>154</v>
      </c>
      <c r="E172">
        <v>772</v>
      </c>
      <c r="F172" t="b">
        <v>1</v>
      </c>
      <c r="G172" t="str">
        <f>HYPERLINK("https://www.google.com/maps/search/?api=1&amp;query=26.64913678,45.33288793", "View Map")</f>
        <v>View Map</v>
      </c>
    </row>
    <row r="173" spans="1:7" x14ac:dyDescent="0.3">
      <c r="A173" t="s">
        <v>3655</v>
      </c>
      <c r="B173" t="s">
        <v>3656</v>
      </c>
      <c r="C173" t="s">
        <v>3320</v>
      </c>
      <c r="D173" t="s">
        <v>10</v>
      </c>
      <c r="E173">
        <v>766</v>
      </c>
      <c r="F173" t="b">
        <v>1</v>
      </c>
      <c r="G173" t="str">
        <f>HYPERLINK("https://www.google.com/maps/search/?api=1&amp;query=25.91560952,45.39291536", "View Map")</f>
        <v>View Map</v>
      </c>
    </row>
    <row r="174" spans="1:7" x14ac:dyDescent="0.3">
      <c r="A174" t="s">
        <v>3355</v>
      </c>
      <c r="B174" t="s">
        <v>3657</v>
      </c>
      <c r="C174" t="s">
        <v>3339</v>
      </c>
      <c r="D174" t="s">
        <v>154</v>
      </c>
      <c r="E174">
        <v>764</v>
      </c>
      <c r="F174" t="b">
        <v>1</v>
      </c>
      <c r="G174" t="str">
        <f>HYPERLINK("https://www.google.com/maps/search/?api=1&amp;query=25.08864854,46.26075928", "View Map")</f>
        <v>View Map</v>
      </c>
    </row>
    <row r="175" spans="1:7" x14ac:dyDescent="0.3">
      <c r="A175" t="s">
        <v>3353</v>
      </c>
      <c r="B175" t="s">
        <v>3658</v>
      </c>
      <c r="C175" t="s">
        <v>3325</v>
      </c>
      <c r="D175" t="s">
        <v>10</v>
      </c>
      <c r="E175">
        <v>764</v>
      </c>
      <c r="F175" t="b">
        <v>0</v>
      </c>
      <c r="G175" t="str">
        <f>HYPERLINK("https://www.google.com/maps/search/?api=1&amp;query=26.33839227,44.79702489", "View Map")</f>
        <v>View Map</v>
      </c>
    </row>
    <row r="176" spans="1:7" x14ac:dyDescent="0.3">
      <c r="A176" t="s">
        <v>3659</v>
      </c>
      <c r="B176" t="s">
        <v>3660</v>
      </c>
      <c r="C176" t="s">
        <v>3389</v>
      </c>
      <c r="D176" t="s">
        <v>10</v>
      </c>
      <c r="E176">
        <v>761</v>
      </c>
      <c r="F176" t="b">
        <v>1</v>
      </c>
      <c r="G176" t="str">
        <f>HYPERLINK("https://www.google.com/maps/search/?api=1&amp;query=25.55604028,47.16852591", "View Map")</f>
        <v>View Map</v>
      </c>
    </row>
    <row r="177" spans="1:7" x14ac:dyDescent="0.3">
      <c r="A177" t="s">
        <v>3661</v>
      </c>
      <c r="B177" t="s">
        <v>3662</v>
      </c>
      <c r="C177" t="s">
        <v>3325</v>
      </c>
      <c r="D177" t="s">
        <v>10</v>
      </c>
      <c r="E177">
        <v>758</v>
      </c>
      <c r="F177" t="b">
        <v>1</v>
      </c>
      <c r="G177" t="str">
        <f>HYPERLINK("https://www.google.com/maps/search/?api=1&amp;query=26.29933219,44.83434989", "View Map")</f>
        <v>View Map</v>
      </c>
    </row>
    <row r="178" spans="1:7" x14ac:dyDescent="0.3">
      <c r="A178" t="s">
        <v>3663</v>
      </c>
      <c r="B178" t="s">
        <v>3664</v>
      </c>
      <c r="C178" t="s">
        <v>3325</v>
      </c>
      <c r="D178" t="s">
        <v>10</v>
      </c>
      <c r="E178">
        <v>755</v>
      </c>
      <c r="F178" t="b">
        <v>0</v>
      </c>
      <c r="G178" t="str">
        <f>HYPERLINK("https://www.google.com/maps/search/?api=1&amp;query=26.33534105,44.7843856", "View Map")</f>
        <v>View Map</v>
      </c>
    </row>
    <row r="179" spans="1:7" x14ac:dyDescent="0.3">
      <c r="A179" t="s">
        <v>3665</v>
      </c>
      <c r="B179" t="s">
        <v>3666</v>
      </c>
      <c r="C179" t="s">
        <v>3328</v>
      </c>
      <c r="D179" t="s">
        <v>10</v>
      </c>
      <c r="E179">
        <v>752</v>
      </c>
      <c r="F179" t="b">
        <v>1</v>
      </c>
      <c r="G179" t="str">
        <f>HYPERLINK("https://www.google.com/maps/search/?api=1&amp;query=25.33811005,45.18448705", "View Map")</f>
        <v>View Map</v>
      </c>
    </row>
    <row r="180" spans="1:7" x14ac:dyDescent="0.3">
      <c r="A180" t="s">
        <v>3667</v>
      </c>
      <c r="B180" t="s">
        <v>3668</v>
      </c>
      <c r="C180" t="s">
        <v>3325</v>
      </c>
      <c r="D180" t="s">
        <v>10</v>
      </c>
      <c r="E180">
        <v>751</v>
      </c>
      <c r="F180" t="b">
        <v>0</v>
      </c>
      <c r="G180" t="str">
        <f>HYPERLINK("https://www.google.com/maps/search/?api=1&amp;query=26.31160481,44.80105833", "View Map")</f>
        <v>View Map</v>
      </c>
    </row>
    <row r="181" spans="1:7" x14ac:dyDescent="0.3">
      <c r="A181" t="s">
        <v>3669</v>
      </c>
      <c r="B181" t="s">
        <v>3670</v>
      </c>
      <c r="C181" t="s">
        <v>3325</v>
      </c>
      <c r="D181" t="s">
        <v>10</v>
      </c>
      <c r="E181">
        <v>745</v>
      </c>
      <c r="F181" t="b">
        <v>0</v>
      </c>
      <c r="G181" t="str">
        <f>HYPERLINK("https://www.google.com/maps/search/?api=1&amp;query=26.31026501,44.80328055", "View Map")</f>
        <v>View Map</v>
      </c>
    </row>
    <row r="182" spans="1:7" x14ac:dyDescent="0.3">
      <c r="A182" t="s">
        <v>3671</v>
      </c>
      <c r="B182" t="s">
        <v>3672</v>
      </c>
      <c r="C182" t="s">
        <v>3325</v>
      </c>
      <c r="D182" t="s">
        <v>10</v>
      </c>
      <c r="E182">
        <v>743</v>
      </c>
      <c r="F182" t="b">
        <v>0</v>
      </c>
      <c r="G182" t="str">
        <f>HYPERLINK("https://www.google.com/maps/search/?api=1&amp;query=26.31891622,44.82411808", "View Map")</f>
        <v>View Map</v>
      </c>
    </row>
    <row r="183" spans="1:7" x14ac:dyDescent="0.3">
      <c r="A183" t="s">
        <v>3673</v>
      </c>
      <c r="B183" t="s">
        <v>3674</v>
      </c>
      <c r="C183" t="s">
        <v>3320</v>
      </c>
      <c r="D183" t="s">
        <v>10</v>
      </c>
      <c r="E183">
        <v>741</v>
      </c>
      <c r="F183" t="b">
        <v>0</v>
      </c>
      <c r="G183" t="str">
        <f>HYPERLINK("https://www.google.com/maps/search/?api=1&amp;query=25.93069776,45.38240687", "View Map")</f>
        <v>View Map</v>
      </c>
    </row>
    <row r="184" spans="1:7" x14ac:dyDescent="0.3">
      <c r="A184" t="s">
        <v>3675</v>
      </c>
      <c r="B184" t="s">
        <v>3676</v>
      </c>
      <c r="C184" t="s">
        <v>3325</v>
      </c>
      <c r="D184" t="s">
        <v>10</v>
      </c>
      <c r="E184">
        <v>740</v>
      </c>
      <c r="F184" t="b">
        <v>0</v>
      </c>
      <c r="G184" t="str">
        <f>HYPERLINK("https://www.google.com/maps/search/?api=1&amp;query=26.26526164,44.81133505", "View Map")</f>
        <v>View Map</v>
      </c>
    </row>
    <row r="185" spans="1:7" x14ac:dyDescent="0.3">
      <c r="A185" t="s">
        <v>3677</v>
      </c>
      <c r="B185" t="s">
        <v>3678</v>
      </c>
      <c r="C185" t="s">
        <v>3328</v>
      </c>
      <c r="D185" t="s">
        <v>10</v>
      </c>
      <c r="E185">
        <v>739</v>
      </c>
      <c r="F185" t="b">
        <v>0</v>
      </c>
      <c r="G185" t="str">
        <f>HYPERLINK("https://www.google.com/maps/search/?api=1&amp;query=25.5691383,45.27959986", "View Map")</f>
        <v>View Map</v>
      </c>
    </row>
    <row r="186" spans="1:7" x14ac:dyDescent="0.3">
      <c r="A186" t="s">
        <v>3679</v>
      </c>
      <c r="B186" t="s">
        <v>3680</v>
      </c>
      <c r="C186" t="s">
        <v>3339</v>
      </c>
      <c r="D186" t="s">
        <v>10</v>
      </c>
      <c r="E186">
        <v>739</v>
      </c>
      <c r="F186" t="b">
        <v>0</v>
      </c>
      <c r="G186" t="str">
        <f>HYPERLINK("https://www.google.com/maps/search/?api=1&amp;query=25.10960103,46.09413001", "View Map")</f>
        <v>View Map</v>
      </c>
    </row>
    <row r="187" spans="1:7" x14ac:dyDescent="0.3">
      <c r="A187" t="s">
        <v>3681</v>
      </c>
      <c r="B187" t="s">
        <v>3682</v>
      </c>
      <c r="C187" t="s">
        <v>3328</v>
      </c>
      <c r="D187" t="s">
        <v>10</v>
      </c>
      <c r="E187">
        <v>738</v>
      </c>
      <c r="F187" t="b">
        <v>1</v>
      </c>
      <c r="G187" t="str">
        <f>HYPERLINK("https://www.google.com/maps/search/?api=1&amp;query=25.24006568,45.24722379", "View Map")</f>
        <v>View Map</v>
      </c>
    </row>
    <row r="188" spans="1:7" x14ac:dyDescent="0.3">
      <c r="A188" t="s">
        <v>3683</v>
      </c>
      <c r="B188" t="s">
        <v>3684</v>
      </c>
      <c r="C188" t="s">
        <v>3325</v>
      </c>
      <c r="D188" t="s">
        <v>10</v>
      </c>
      <c r="E188">
        <v>729</v>
      </c>
      <c r="F188" t="b">
        <v>0</v>
      </c>
      <c r="G188" t="str">
        <f>HYPERLINK("https://www.google.com/maps/search/?api=1&amp;query=26.33659697,44.78049589", "View Map")</f>
        <v>View Map</v>
      </c>
    </row>
    <row r="189" spans="1:7" x14ac:dyDescent="0.3">
      <c r="A189" t="s">
        <v>3685</v>
      </c>
      <c r="B189" t="s">
        <v>3686</v>
      </c>
      <c r="C189" t="s">
        <v>3320</v>
      </c>
      <c r="D189" t="s">
        <v>10</v>
      </c>
      <c r="E189">
        <v>727</v>
      </c>
      <c r="F189" t="b">
        <v>0</v>
      </c>
      <c r="G189" t="str">
        <f>HYPERLINK("https://www.google.com/maps/search/?api=1&amp;query=26.41641002,45.35911031", "View Map")</f>
        <v>View Map</v>
      </c>
    </row>
    <row r="190" spans="1:7" x14ac:dyDescent="0.3">
      <c r="A190" t="s">
        <v>3687</v>
      </c>
      <c r="B190" t="s">
        <v>3688</v>
      </c>
      <c r="C190" t="s">
        <v>3325</v>
      </c>
      <c r="D190" t="s">
        <v>10</v>
      </c>
      <c r="E190">
        <v>725</v>
      </c>
      <c r="F190" t="b">
        <v>0</v>
      </c>
      <c r="G190" t="str">
        <f>HYPERLINK("https://www.google.com/maps/search/?api=1&amp;query=26.30360038,44.81267354", "View Map")</f>
        <v>View Map</v>
      </c>
    </row>
    <row r="191" spans="1:7" x14ac:dyDescent="0.3">
      <c r="A191" t="s">
        <v>3689</v>
      </c>
      <c r="B191" t="s">
        <v>3690</v>
      </c>
      <c r="C191" t="s">
        <v>3325</v>
      </c>
      <c r="D191" t="s">
        <v>10</v>
      </c>
      <c r="E191">
        <v>723</v>
      </c>
      <c r="F191" t="b">
        <v>1</v>
      </c>
      <c r="G191" t="str">
        <f>HYPERLINK("https://www.google.com/maps/search/?api=1&amp;query=26.30088647,44.81922226", "View Map")</f>
        <v>View Map</v>
      </c>
    </row>
    <row r="192" spans="1:7" x14ac:dyDescent="0.3">
      <c r="A192" t="s">
        <v>3691</v>
      </c>
      <c r="B192" t="s">
        <v>3692</v>
      </c>
      <c r="C192" t="s">
        <v>3325</v>
      </c>
      <c r="D192" t="s">
        <v>10</v>
      </c>
      <c r="E192">
        <v>722</v>
      </c>
      <c r="F192" t="b">
        <v>0</v>
      </c>
      <c r="G192" t="str">
        <f>HYPERLINK("https://www.google.com/maps/search/?api=1&amp;query=26.2753872,44.81927616", "View Map")</f>
        <v>View Map</v>
      </c>
    </row>
    <row r="193" spans="1:7" x14ac:dyDescent="0.3">
      <c r="A193" t="s">
        <v>3353</v>
      </c>
      <c r="B193" t="s">
        <v>3693</v>
      </c>
      <c r="C193" t="s">
        <v>3325</v>
      </c>
      <c r="D193" t="s">
        <v>10</v>
      </c>
      <c r="E193">
        <v>721</v>
      </c>
      <c r="F193" t="b">
        <v>1</v>
      </c>
      <c r="G193" t="str">
        <f>HYPERLINK("https://www.google.com/maps/search/?api=1&amp;query=26.28896711,44.82354316", "View Map")</f>
        <v>View Map</v>
      </c>
    </row>
    <row r="194" spans="1:7" x14ac:dyDescent="0.3">
      <c r="A194" t="s">
        <v>3694</v>
      </c>
      <c r="B194" t="s">
        <v>3695</v>
      </c>
      <c r="C194" t="s">
        <v>3320</v>
      </c>
      <c r="D194" t="s">
        <v>10</v>
      </c>
      <c r="E194">
        <v>720</v>
      </c>
      <c r="F194" t="b">
        <v>0</v>
      </c>
      <c r="G194" t="str">
        <f>HYPERLINK("https://www.google.com/maps/search/?api=1&amp;query=25.67969842,45.45348675", "View Map")</f>
        <v>View Map</v>
      </c>
    </row>
    <row r="195" spans="1:7" x14ac:dyDescent="0.3">
      <c r="A195" t="s">
        <v>3696</v>
      </c>
      <c r="B195" t="s">
        <v>3697</v>
      </c>
      <c r="C195" t="s">
        <v>3325</v>
      </c>
      <c r="D195" t="s">
        <v>10</v>
      </c>
      <c r="E195">
        <v>719</v>
      </c>
      <c r="F195" t="b">
        <v>0</v>
      </c>
      <c r="G195" t="str">
        <f>HYPERLINK("https://www.google.com/maps/search/?api=1&amp;query=26.32015726,44.81144969", "View Map")</f>
        <v>View Map</v>
      </c>
    </row>
    <row r="196" spans="1:7" x14ac:dyDescent="0.3">
      <c r="A196" t="s">
        <v>3698</v>
      </c>
      <c r="B196" t="s">
        <v>3699</v>
      </c>
      <c r="C196" t="s">
        <v>3320</v>
      </c>
      <c r="D196" t="s">
        <v>10</v>
      </c>
      <c r="E196">
        <v>718</v>
      </c>
      <c r="F196" t="b">
        <v>0</v>
      </c>
      <c r="G196" t="str">
        <f>HYPERLINK("https://www.google.com/maps/search/?api=1&amp;query=25.71617292,45.85913", "View Map")</f>
        <v>View Map</v>
      </c>
    </row>
    <row r="197" spans="1:7" x14ac:dyDescent="0.3">
      <c r="A197" t="s">
        <v>3700</v>
      </c>
      <c r="B197" t="s">
        <v>3701</v>
      </c>
      <c r="C197" t="s">
        <v>3325</v>
      </c>
      <c r="D197" t="s">
        <v>10</v>
      </c>
      <c r="E197">
        <v>716</v>
      </c>
      <c r="F197" t="b">
        <v>0</v>
      </c>
      <c r="G197" t="str">
        <f>HYPERLINK("https://www.google.com/maps/search/?api=1&amp;query=26.31754738,44.79509351", "View Map")</f>
        <v>View Map</v>
      </c>
    </row>
    <row r="198" spans="1:7" x14ac:dyDescent="0.3">
      <c r="A198" t="s">
        <v>3702</v>
      </c>
      <c r="B198" t="s">
        <v>3703</v>
      </c>
      <c r="C198" t="s">
        <v>3325</v>
      </c>
      <c r="D198" t="s">
        <v>10</v>
      </c>
      <c r="E198">
        <v>716</v>
      </c>
      <c r="F198" t="b">
        <v>0</v>
      </c>
      <c r="G198" t="str">
        <f>HYPERLINK("https://www.google.com/maps/search/?api=1&amp;query=26.36004135,44.77275113", "View Map")</f>
        <v>View Map</v>
      </c>
    </row>
    <row r="199" spans="1:7" x14ac:dyDescent="0.3">
      <c r="A199" t="s">
        <v>3704</v>
      </c>
      <c r="B199" t="s">
        <v>3705</v>
      </c>
      <c r="C199" t="s">
        <v>3320</v>
      </c>
      <c r="D199" t="s">
        <v>10</v>
      </c>
      <c r="E199">
        <v>716</v>
      </c>
      <c r="F199" t="b">
        <v>0</v>
      </c>
      <c r="G199" t="str">
        <f>HYPERLINK("https://www.google.com/maps/search/?api=1&amp;query=25.62788131,45.580624", "View Map")</f>
        <v>View Map</v>
      </c>
    </row>
    <row r="200" spans="1:7" x14ac:dyDescent="0.3">
      <c r="A200" t="s">
        <v>3706</v>
      </c>
      <c r="B200" t="s">
        <v>3707</v>
      </c>
      <c r="C200" t="s">
        <v>3320</v>
      </c>
      <c r="D200" t="s">
        <v>10</v>
      </c>
      <c r="E200">
        <v>714</v>
      </c>
      <c r="F200" t="b">
        <v>0</v>
      </c>
      <c r="G200" t="str">
        <f>HYPERLINK("https://www.google.com/maps/search/?api=1&amp;query=25.58244467,45.61083001", "View Map")</f>
        <v>View Map</v>
      </c>
    </row>
    <row r="201" spans="1:7" x14ac:dyDescent="0.3">
      <c r="A201" t="s">
        <v>3708</v>
      </c>
      <c r="B201" t="s">
        <v>3709</v>
      </c>
      <c r="C201" t="s">
        <v>3325</v>
      </c>
      <c r="D201" t="s">
        <v>10</v>
      </c>
      <c r="E201">
        <v>713</v>
      </c>
      <c r="F201" t="b">
        <v>0</v>
      </c>
      <c r="G201" t="str">
        <f>HYPERLINK("https://www.google.com/maps/search/?api=1&amp;query=26.29822083,44.80265733", "View Map")</f>
        <v>View Map</v>
      </c>
    </row>
    <row r="202" spans="1:7" x14ac:dyDescent="0.3">
      <c r="A202" t="s">
        <v>3710</v>
      </c>
      <c r="B202" t="s">
        <v>3711</v>
      </c>
      <c r="C202" t="s">
        <v>3325</v>
      </c>
      <c r="D202" t="s">
        <v>10</v>
      </c>
      <c r="E202">
        <v>712</v>
      </c>
      <c r="F202" t="b">
        <v>0</v>
      </c>
      <c r="G202" t="str">
        <f>HYPERLINK("https://www.google.com/maps/search/?api=1&amp;query=26.29821278,44.80766993", "View Map")</f>
        <v>View Map</v>
      </c>
    </row>
    <row r="203" spans="1:7" x14ac:dyDescent="0.3">
      <c r="A203" t="s">
        <v>3712</v>
      </c>
      <c r="B203" t="s">
        <v>3713</v>
      </c>
      <c r="C203" t="s">
        <v>3325</v>
      </c>
      <c r="D203" t="s">
        <v>10</v>
      </c>
      <c r="E203">
        <v>711</v>
      </c>
      <c r="F203" t="b">
        <v>0</v>
      </c>
      <c r="G203" t="str">
        <f>HYPERLINK("https://www.google.com/maps/search/?api=1&amp;query=26.31362596,44.83180766", "View Map")</f>
        <v>View Map</v>
      </c>
    </row>
    <row r="204" spans="1:7" x14ac:dyDescent="0.3">
      <c r="A204" t="s">
        <v>3714</v>
      </c>
      <c r="B204" t="s">
        <v>3715</v>
      </c>
      <c r="C204" t="s">
        <v>3325</v>
      </c>
      <c r="D204" t="s">
        <v>10</v>
      </c>
      <c r="E204">
        <v>710</v>
      </c>
      <c r="F204" t="b">
        <v>0</v>
      </c>
      <c r="G204" t="str">
        <f>HYPERLINK("https://www.google.com/maps/search/?api=1&amp;query=26.28890267,44.82152195", "View Map")</f>
        <v>View Map</v>
      </c>
    </row>
    <row r="205" spans="1:7" x14ac:dyDescent="0.3">
      <c r="A205" t="s">
        <v>3716</v>
      </c>
      <c r="B205" t="s">
        <v>3717</v>
      </c>
      <c r="C205" t="s">
        <v>3325</v>
      </c>
      <c r="D205" t="s">
        <v>10</v>
      </c>
      <c r="E205">
        <v>708</v>
      </c>
      <c r="F205" t="b">
        <v>1</v>
      </c>
      <c r="G205" t="str">
        <f>HYPERLINK("https://www.google.com/maps/search/?api=1&amp;query=26.30971246,44.87224981", "View Map")</f>
        <v>View Map</v>
      </c>
    </row>
    <row r="206" spans="1:7" x14ac:dyDescent="0.3">
      <c r="A206" t="s">
        <v>3718</v>
      </c>
      <c r="B206" t="s">
        <v>3719</v>
      </c>
      <c r="C206" t="s">
        <v>3352</v>
      </c>
      <c r="D206" t="s">
        <v>154</v>
      </c>
      <c r="E206">
        <v>708</v>
      </c>
      <c r="F206" t="b">
        <v>0</v>
      </c>
      <c r="G206" t="str">
        <f>HYPERLINK("https://www.google.com/maps/search/?api=1&amp;query=25.11995825,45.49277008", "View Map")</f>
        <v>View Map</v>
      </c>
    </row>
    <row r="207" spans="1:7" x14ac:dyDescent="0.3">
      <c r="A207" t="s">
        <v>3720</v>
      </c>
      <c r="B207" t="s">
        <v>3721</v>
      </c>
      <c r="C207" t="s">
        <v>3389</v>
      </c>
      <c r="D207" t="s">
        <v>154</v>
      </c>
      <c r="E207">
        <v>707</v>
      </c>
      <c r="F207" t="b">
        <v>1</v>
      </c>
      <c r="G207" t="str">
        <f>HYPERLINK("https://www.google.com/maps/search/?api=1&amp;query=25.55450464,47.16384012", "View Map")</f>
        <v>View Map</v>
      </c>
    </row>
    <row r="208" spans="1:7" x14ac:dyDescent="0.3">
      <c r="A208" t="s">
        <v>3722</v>
      </c>
      <c r="B208" t="s">
        <v>3723</v>
      </c>
      <c r="C208" t="s">
        <v>3325</v>
      </c>
      <c r="D208" t="s">
        <v>10</v>
      </c>
      <c r="E208">
        <v>706</v>
      </c>
      <c r="F208" t="b">
        <v>0</v>
      </c>
      <c r="G208" t="str">
        <f>HYPERLINK("https://www.google.com/maps/search/?api=1&amp;query=26.29586116,44.81124522", "View Map")</f>
        <v>View Map</v>
      </c>
    </row>
    <row r="209" spans="1:7" x14ac:dyDescent="0.3">
      <c r="A209" t="s">
        <v>3724</v>
      </c>
      <c r="B209" t="s">
        <v>3725</v>
      </c>
      <c r="C209" t="s">
        <v>3378</v>
      </c>
      <c r="D209" t="s">
        <v>10</v>
      </c>
      <c r="E209">
        <v>706</v>
      </c>
      <c r="F209" t="b">
        <v>0</v>
      </c>
      <c r="G209" t="str">
        <f>HYPERLINK("https://www.google.com/maps/search/?api=1&amp;query=26.14409807,44.91472478", "View Map")</f>
        <v>View Map</v>
      </c>
    </row>
    <row r="210" spans="1:7" x14ac:dyDescent="0.3">
      <c r="A210" t="s">
        <v>3726</v>
      </c>
      <c r="B210" t="s">
        <v>3727</v>
      </c>
      <c r="C210" t="s">
        <v>3325</v>
      </c>
      <c r="D210" t="s">
        <v>10</v>
      </c>
      <c r="E210">
        <v>706</v>
      </c>
      <c r="F210" t="b">
        <v>0</v>
      </c>
      <c r="G210" t="str">
        <f>HYPERLINK("https://www.google.com/maps/search/?api=1&amp;query=26.31084787,44.82424385", "View Map")</f>
        <v>View Map</v>
      </c>
    </row>
    <row r="211" spans="1:7" x14ac:dyDescent="0.3">
      <c r="A211" t="s">
        <v>3353</v>
      </c>
      <c r="B211" t="s">
        <v>3728</v>
      </c>
      <c r="C211" t="s">
        <v>3325</v>
      </c>
      <c r="D211" t="s">
        <v>10</v>
      </c>
      <c r="E211">
        <v>702</v>
      </c>
      <c r="F211" t="b">
        <v>0</v>
      </c>
      <c r="G211" t="str">
        <f>HYPERLINK("https://www.google.com/maps/search/?api=1&amp;query=26.32167801,44.79630624", "View Map")</f>
        <v>View Map</v>
      </c>
    </row>
    <row r="212" spans="1:7" x14ac:dyDescent="0.3">
      <c r="A212" t="s">
        <v>3357</v>
      </c>
      <c r="B212" t="s">
        <v>3729</v>
      </c>
      <c r="C212" t="s">
        <v>3320</v>
      </c>
      <c r="D212" t="s">
        <v>10</v>
      </c>
      <c r="E212">
        <v>701</v>
      </c>
      <c r="F212" t="b">
        <v>0</v>
      </c>
      <c r="G212" t="str">
        <f>HYPERLINK("https://www.google.com/maps/search/?api=1&amp;query=25.70290708,45.45487016", "View Map")</f>
        <v>View Map</v>
      </c>
    </row>
    <row r="213" spans="1:7" x14ac:dyDescent="0.3">
      <c r="A213" t="s">
        <v>3730</v>
      </c>
      <c r="B213" t="s">
        <v>3731</v>
      </c>
      <c r="C213" t="s">
        <v>3389</v>
      </c>
      <c r="D213" t="s">
        <v>154</v>
      </c>
      <c r="E213">
        <v>698</v>
      </c>
      <c r="F213" t="b">
        <v>0</v>
      </c>
      <c r="G213" t="str">
        <f>HYPERLINK("https://www.google.com/maps/search/?api=1&amp;query=25.5684414,47.16404973", "View Map")</f>
        <v>View Map</v>
      </c>
    </row>
    <row r="214" spans="1:7" x14ac:dyDescent="0.3">
      <c r="A214" t="s">
        <v>3357</v>
      </c>
      <c r="B214" t="s">
        <v>3732</v>
      </c>
      <c r="C214" t="s">
        <v>3320</v>
      </c>
      <c r="D214" t="s">
        <v>10</v>
      </c>
      <c r="E214">
        <v>690</v>
      </c>
      <c r="F214" t="b">
        <v>0</v>
      </c>
      <c r="G214" t="str">
        <f>HYPERLINK("https://www.google.com/maps/search/?api=1&amp;query=25.56943359,45.65551821", "View Map")</f>
        <v>View Map</v>
      </c>
    </row>
    <row r="215" spans="1:7" x14ac:dyDescent="0.3">
      <c r="A215" t="s">
        <v>3733</v>
      </c>
      <c r="B215" t="s">
        <v>3734</v>
      </c>
      <c r="C215" t="s">
        <v>3325</v>
      </c>
      <c r="D215" t="s">
        <v>10</v>
      </c>
      <c r="E215">
        <v>689</v>
      </c>
      <c r="F215" t="b">
        <v>0</v>
      </c>
      <c r="G215" t="str">
        <f>HYPERLINK("https://www.google.com/maps/search/?api=1&amp;query=26.31329581,44.79815677", "View Map")</f>
        <v>View Map</v>
      </c>
    </row>
    <row r="216" spans="1:7" x14ac:dyDescent="0.3">
      <c r="A216" t="s">
        <v>3735</v>
      </c>
      <c r="B216" t="s">
        <v>3736</v>
      </c>
      <c r="C216" t="s">
        <v>3325</v>
      </c>
      <c r="D216" t="s">
        <v>10</v>
      </c>
      <c r="E216">
        <v>689</v>
      </c>
      <c r="F216" t="b">
        <v>0</v>
      </c>
      <c r="G216" t="str">
        <f>HYPERLINK("https://www.google.com/maps/search/?api=1&amp;query=26.26342493,44.80690636", "View Map")</f>
        <v>View Map</v>
      </c>
    </row>
    <row r="217" spans="1:7" x14ac:dyDescent="0.3">
      <c r="A217" t="s">
        <v>3737</v>
      </c>
      <c r="B217" t="s">
        <v>3738</v>
      </c>
      <c r="C217" t="s">
        <v>3320</v>
      </c>
      <c r="D217" t="s">
        <v>10</v>
      </c>
      <c r="E217">
        <v>687</v>
      </c>
      <c r="F217" t="b">
        <v>0</v>
      </c>
      <c r="G217" t="str">
        <f>HYPERLINK("https://www.google.com/maps/search/?api=1&amp;query=25.64801498,45.55475383", "View Map")</f>
        <v>View Map</v>
      </c>
    </row>
    <row r="218" spans="1:7" x14ac:dyDescent="0.3">
      <c r="A218" t="s">
        <v>3739</v>
      </c>
      <c r="B218" t="s">
        <v>3740</v>
      </c>
      <c r="C218" t="s">
        <v>3378</v>
      </c>
      <c r="D218" t="s">
        <v>10</v>
      </c>
      <c r="E218">
        <v>678</v>
      </c>
      <c r="F218" t="b">
        <v>0</v>
      </c>
      <c r="G218" t="str">
        <f>HYPERLINK("https://www.google.com/maps/search/?api=1&amp;query=25.92754625,44.88750321", "View Map")</f>
        <v>View Map</v>
      </c>
    </row>
    <row r="219" spans="1:7" x14ac:dyDescent="0.3">
      <c r="A219" t="s">
        <v>3741</v>
      </c>
      <c r="B219" t="s">
        <v>3742</v>
      </c>
      <c r="C219" t="s">
        <v>3325</v>
      </c>
      <c r="D219" t="s">
        <v>10</v>
      </c>
      <c r="E219">
        <v>675</v>
      </c>
      <c r="F219" t="b">
        <v>0</v>
      </c>
      <c r="G219" t="str">
        <f>HYPERLINK("https://www.google.com/maps/search/?api=1&amp;query=26.31881154,44.81696749", "View Map")</f>
        <v>View Map</v>
      </c>
    </row>
    <row r="220" spans="1:7" x14ac:dyDescent="0.3">
      <c r="A220" t="s">
        <v>3743</v>
      </c>
      <c r="B220" t="s">
        <v>3744</v>
      </c>
      <c r="C220" t="s">
        <v>3320</v>
      </c>
      <c r="D220" t="s">
        <v>10</v>
      </c>
      <c r="E220">
        <v>667</v>
      </c>
      <c r="F220" t="b">
        <v>0</v>
      </c>
      <c r="G220" t="str">
        <f>HYPERLINK("https://www.google.com/maps/search/?api=1&amp;query=25.69447891,45.89125791", "View Map")</f>
        <v>View Map</v>
      </c>
    </row>
    <row r="221" spans="1:7" x14ac:dyDescent="0.3">
      <c r="A221" t="s">
        <v>3745</v>
      </c>
      <c r="B221" t="s">
        <v>3746</v>
      </c>
      <c r="C221" t="s">
        <v>3320</v>
      </c>
      <c r="D221" t="s">
        <v>154</v>
      </c>
      <c r="E221">
        <v>666</v>
      </c>
      <c r="F221" t="b">
        <v>0</v>
      </c>
      <c r="G221" t="str">
        <f>HYPERLINK("https://www.google.com/maps/search/?api=1&amp;query=26.48591391,45.3423921", "View Map")</f>
        <v>View Map</v>
      </c>
    </row>
    <row r="222" spans="1:7" x14ac:dyDescent="0.3">
      <c r="A222" t="s">
        <v>3353</v>
      </c>
      <c r="B222" t="s">
        <v>3747</v>
      </c>
      <c r="C222" t="s">
        <v>3325</v>
      </c>
      <c r="D222" t="s">
        <v>10</v>
      </c>
      <c r="E222">
        <v>665</v>
      </c>
      <c r="F222" t="b">
        <v>0</v>
      </c>
      <c r="G222" t="str">
        <f>HYPERLINK("https://www.google.com/maps/search/?api=1&amp;query=26.32116351,44.89629414", "View Map")</f>
        <v>View Map</v>
      </c>
    </row>
    <row r="223" spans="1:7" x14ac:dyDescent="0.3">
      <c r="A223" t="s">
        <v>3748</v>
      </c>
      <c r="B223" t="s">
        <v>3749</v>
      </c>
      <c r="C223" t="s">
        <v>3320</v>
      </c>
      <c r="D223" t="s">
        <v>10</v>
      </c>
      <c r="E223">
        <v>663</v>
      </c>
      <c r="F223" t="b">
        <v>0</v>
      </c>
      <c r="G223" t="str">
        <f>HYPERLINK("https://www.google.com/maps/search/?api=1&amp;query=25.90463442,45.37002925", "View Map")</f>
        <v>View Map</v>
      </c>
    </row>
    <row r="224" spans="1:7" x14ac:dyDescent="0.3">
      <c r="A224" t="s">
        <v>3353</v>
      </c>
      <c r="B224" t="s">
        <v>3750</v>
      </c>
      <c r="C224" t="s">
        <v>3325</v>
      </c>
      <c r="D224" t="s">
        <v>10</v>
      </c>
      <c r="E224">
        <v>660</v>
      </c>
      <c r="F224" t="b">
        <v>0</v>
      </c>
      <c r="G224" t="str">
        <f>HYPERLINK("https://www.google.com/maps/search/?api=1&amp;query=26.34200694,44.78504137", "View Map")</f>
        <v>View Map</v>
      </c>
    </row>
    <row r="225" spans="1:7" x14ac:dyDescent="0.3">
      <c r="A225" t="s">
        <v>3751</v>
      </c>
      <c r="B225" t="s">
        <v>3752</v>
      </c>
      <c r="C225" t="s">
        <v>3389</v>
      </c>
      <c r="D225" t="s">
        <v>10</v>
      </c>
      <c r="E225">
        <v>658</v>
      </c>
      <c r="F225" t="b">
        <v>1</v>
      </c>
      <c r="G225" t="str">
        <f>HYPERLINK("https://www.google.com/maps/search/?api=1&amp;query=25.56990853,46.98225485", "View Map")</f>
        <v>View Map</v>
      </c>
    </row>
    <row r="226" spans="1:7" x14ac:dyDescent="0.3">
      <c r="A226" t="s">
        <v>3753</v>
      </c>
      <c r="B226" t="s">
        <v>3754</v>
      </c>
      <c r="C226" t="s">
        <v>3320</v>
      </c>
      <c r="D226" t="s">
        <v>10</v>
      </c>
      <c r="E226">
        <v>658</v>
      </c>
      <c r="F226" t="b">
        <v>0</v>
      </c>
      <c r="G226" t="str">
        <f>HYPERLINK("https://www.google.com/maps/search/?api=1&amp;query=25.67149725,45.46503036", "View Map")</f>
        <v>View Map</v>
      </c>
    </row>
    <row r="227" spans="1:7" x14ac:dyDescent="0.3">
      <c r="A227" t="s">
        <v>3755</v>
      </c>
      <c r="B227" t="s">
        <v>3756</v>
      </c>
      <c r="C227" t="s">
        <v>3325</v>
      </c>
      <c r="D227" t="s">
        <v>10</v>
      </c>
      <c r="E227">
        <v>657</v>
      </c>
      <c r="F227" t="b">
        <v>0</v>
      </c>
      <c r="G227" t="str">
        <f>HYPERLINK("https://www.google.com/maps/search/?api=1&amp;query=26.33224144,44.78434966", "View Map")</f>
        <v>View Map</v>
      </c>
    </row>
    <row r="228" spans="1:7" x14ac:dyDescent="0.3">
      <c r="A228" t="s">
        <v>3757</v>
      </c>
      <c r="B228" t="s">
        <v>3758</v>
      </c>
      <c r="C228" t="s">
        <v>3320</v>
      </c>
      <c r="D228" t="s">
        <v>10</v>
      </c>
      <c r="E228">
        <v>654</v>
      </c>
      <c r="F228" t="b">
        <v>1</v>
      </c>
      <c r="G228" t="str">
        <f>HYPERLINK("https://www.google.com/maps/search/?api=1&amp;query=25.67925646,45.44917603", "View Map")</f>
        <v>View Map</v>
      </c>
    </row>
    <row r="229" spans="1:7" x14ac:dyDescent="0.3">
      <c r="A229" t="s">
        <v>3759</v>
      </c>
      <c r="B229" t="s">
        <v>3760</v>
      </c>
      <c r="C229" t="s">
        <v>3320</v>
      </c>
      <c r="D229" t="s">
        <v>10</v>
      </c>
      <c r="E229">
        <v>653</v>
      </c>
      <c r="F229" t="b">
        <v>1</v>
      </c>
      <c r="G229" t="str">
        <f>HYPERLINK("https://www.google.com/maps/search/?api=1&amp;query=25.81818704,45.40432196", "View Map")</f>
        <v>View Map</v>
      </c>
    </row>
    <row r="230" spans="1:7" x14ac:dyDescent="0.3">
      <c r="A230" t="s">
        <v>3761</v>
      </c>
      <c r="B230" t="s">
        <v>3762</v>
      </c>
      <c r="C230" t="s">
        <v>3320</v>
      </c>
      <c r="D230" t="s">
        <v>10</v>
      </c>
      <c r="E230">
        <v>651</v>
      </c>
      <c r="F230" t="b">
        <v>0</v>
      </c>
      <c r="G230" t="str">
        <f>HYPERLINK("https://www.google.com/maps/search/?api=1&amp;query=25.62337307,45.57722311", "View Map")</f>
        <v>View Map</v>
      </c>
    </row>
    <row r="231" spans="1:7" x14ac:dyDescent="0.3">
      <c r="A231" t="s">
        <v>3763</v>
      </c>
      <c r="B231" t="s">
        <v>3764</v>
      </c>
      <c r="C231" t="s">
        <v>3325</v>
      </c>
      <c r="D231" t="s">
        <v>10</v>
      </c>
      <c r="E231">
        <v>648</v>
      </c>
      <c r="F231" t="b">
        <v>0</v>
      </c>
      <c r="G231" t="str">
        <f>HYPERLINK("https://www.google.com/maps/search/?api=1&amp;query=26.29559539,44.81703037", "View Map")</f>
        <v>View Map</v>
      </c>
    </row>
    <row r="232" spans="1:7" x14ac:dyDescent="0.3">
      <c r="A232" t="s">
        <v>3765</v>
      </c>
      <c r="B232" t="s">
        <v>3766</v>
      </c>
      <c r="C232" t="s">
        <v>3325</v>
      </c>
      <c r="D232" t="s">
        <v>10</v>
      </c>
      <c r="E232">
        <v>648</v>
      </c>
      <c r="F232" t="b">
        <v>0</v>
      </c>
      <c r="G232" t="str">
        <f>HYPERLINK("https://www.google.com/maps/search/?api=1&amp;query=26.26698864,44.80899379", "View Map")</f>
        <v>View Map</v>
      </c>
    </row>
    <row r="233" spans="1:7" x14ac:dyDescent="0.3">
      <c r="A233" t="s">
        <v>3767</v>
      </c>
      <c r="B233" t="s">
        <v>3768</v>
      </c>
      <c r="C233" t="s">
        <v>3320</v>
      </c>
      <c r="D233" t="s">
        <v>10</v>
      </c>
      <c r="E233">
        <v>647</v>
      </c>
      <c r="F233" t="b">
        <v>0</v>
      </c>
      <c r="G233" t="str">
        <f>HYPERLINK("https://www.google.com/maps/search/?api=1&amp;query=25.62102925,45.54415371", "View Map")</f>
        <v>View Map</v>
      </c>
    </row>
    <row r="234" spans="1:7" x14ac:dyDescent="0.3">
      <c r="A234" t="s">
        <v>3769</v>
      </c>
      <c r="B234" t="s">
        <v>3770</v>
      </c>
      <c r="C234" t="s">
        <v>3325</v>
      </c>
      <c r="D234" t="s">
        <v>10</v>
      </c>
      <c r="E234">
        <v>647</v>
      </c>
      <c r="F234" t="b">
        <v>0</v>
      </c>
      <c r="G234" t="str">
        <f>HYPERLINK("https://www.google.com/maps/search/?api=1&amp;query=26.30493717,44.81553019", "View Map")</f>
        <v>View Map</v>
      </c>
    </row>
    <row r="235" spans="1:7" x14ac:dyDescent="0.3">
      <c r="A235" t="s">
        <v>3771</v>
      </c>
      <c r="B235" t="s">
        <v>3772</v>
      </c>
      <c r="C235" t="s">
        <v>3389</v>
      </c>
      <c r="D235" t="s">
        <v>10</v>
      </c>
      <c r="E235">
        <v>647</v>
      </c>
      <c r="F235" t="b">
        <v>1</v>
      </c>
      <c r="G235" t="str">
        <f>HYPERLINK("https://www.google.com/maps/search/?api=1&amp;query=25.53915073,47.18483454", "View Map")</f>
        <v>View Map</v>
      </c>
    </row>
    <row r="236" spans="1:7" x14ac:dyDescent="0.3">
      <c r="A236" t="s">
        <v>3773</v>
      </c>
      <c r="B236" t="s">
        <v>3774</v>
      </c>
      <c r="C236" t="s">
        <v>3325</v>
      </c>
      <c r="D236" t="s">
        <v>10</v>
      </c>
      <c r="E236">
        <v>643</v>
      </c>
      <c r="F236" t="b">
        <v>0</v>
      </c>
      <c r="G236" t="str">
        <f>HYPERLINK("https://www.google.com/maps/search/?api=1&amp;query=26.29411352,44.7935574", "View Map")</f>
        <v>View Map</v>
      </c>
    </row>
    <row r="237" spans="1:7" x14ac:dyDescent="0.3">
      <c r="A237" t="s">
        <v>3775</v>
      </c>
      <c r="B237" t="s">
        <v>3776</v>
      </c>
      <c r="C237" t="s">
        <v>3325</v>
      </c>
      <c r="D237" t="s">
        <v>10</v>
      </c>
      <c r="E237">
        <v>642</v>
      </c>
      <c r="F237" t="b">
        <v>0</v>
      </c>
      <c r="G237" t="str">
        <f>HYPERLINK("https://www.google.com/maps/search/?api=1&amp;query=26.33304927,44.81823926", "View Map")</f>
        <v>View Map</v>
      </c>
    </row>
    <row r="238" spans="1:7" x14ac:dyDescent="0.3">
      <c r="A238" t="s">
        <v>3777</v>
      </c>
      <c r="B238" t="s">
        <v>3778</v>
      </c>
      <c r="C238" t="s">
        <v>3320</v>
      </c>
      <c r="D238" t="s">
        <v>10</v>
      </c>
      <c r="E238">
        <v>641</v>
      </c>
      <c r="F238" t="b">
        <v>0</v>
      </c>
      <c r="G238" t="str">
        <f>HYPERLINK("https://www.google.com/maps/search/?api=1&amp;query=25.67573137,45.46772505", "View Map")</f>
        <v>View Map</v>
      </c>
    </row>
    <row r="239" spans="1:7" x14ac:dyDescent="0.3">
      <c r="A239" t="s">
        <v>3655</v>
      </c>
      <c r="B239" t="s">
        <v>3779</v>
      </c>
      <c r="C239" t="s">
        <v>3320</v>
      </c>
      <c r="D239" t="s">
        <v>154</v>
      </c>
      <c r="E239">
        <v>641</v>
      </c>
      <c r="F239" t="b">
        <v>1</v>
      </c>
      <c r="G239" t="str">
        <f>HYPERLINK("https://www.google.com/maps/search/?api=1&amp;query=25.91078974,45.39940848", "View Map")</f>
        <v>View Map</v>
      </c>
    </row>
    <row r="240" spans="1:7" x14ac:dyDescent="0.3">
      <c r="A240" t="s">
        <v>3780</v>
      </c>
      <c r="B240" t="s">
        <v>3781</v>
      </c>
      <c r="C240" t="s">
        <v>3320</v>
      </c>
      <c r="D240" t="s">
        <v>10</v>
      </c>
      <c r="E240">
        <v>628</v>
      </c>
      <c r="F240" t="b">
        <v>0</v>
      </c>
      <c r="G240" t="str">
        <f>HYPERLINK("https://www.google.com/maps/search/?api=1&amp;query=25.92545209,45.32420678", "View Map")</f>
        <v>View Map</v>
      </c>
    </row>
    <row r="241" spans="1:7" x14ac:dyDescent="0.3">
      <c r="A241" t="s">
        <v>3782</v>
      </c>
      <c r="B241" t="s">
        <v>3783</v>
      </c>
      <c r="C241" t="s">
        <v>3325</v>
      </c>
      <c r="D241" t="s">
        <v>10</v>
      </c>
      <c r="E241">
        <v>625</v>
      </c>
      <c r="F241" t="b">
        <v>0</v>
      </c>
      <c r="G241" t="str">
        <f>HYPERLINK("https://www.google.com/maps/search/?api=1&amp;query=26.33991382,44.78297524", "View Map")</f>
        <v>View Map</v>
      </c>
    </row>
    <row r="242" spans="1:7" x14ac:dyDescent="0.3">
      <c r="A242" t="s">
        <v>3784</v>
      </c>
      <c r="B242" t="s">
        <v>3785</v>
      </c>
      <c r="C242" t="s">
        <v>3325</v>
      </c>
      <c r="D242" t="s">
        <v>10</v>
      </c>
      <c r="E242">
        <v>623</v>
      </c>
      <c r="F242" t="b">
        <v>0</v>
      </c>
      <c r="G242" t="str">
        <f>HYPERLINK("https://www.google.com/maps/search/?api=1&amp;query=26.29256721,44.79429401", "View Map")</f>
        <v>View Map</v>
      </c>
    </row>
    <row r="243" spans="1:7" x14ac:dyDescent="0.3">
      <c r="A243" t="s">
        <v>3786</v>
      </c>
      <c r="B243" t="s">
        <v>3787</v>
      </c>
      <c r="C243" t="s">
        <v>3320</v>
      </c>
      <c r="D243" t="s">
        <v>10</v>
      </c>
      <c r="E243">
        <v>618</v>
      </c>
      <c r="F243" t="b">
        <v>0</v>
      </c>
      <c r="G243" t="str">
        <f>HYPERLINK("https://www.google.com/maps/search/?api=1&amp;query=25.7108,45.8628", "View Map")</f>
        <v>View Map</v>
      </c>
    </row>
    <row r="244" spans="1:7" x14ac:dyDescent="0.3">
      <c r="A244" t="s">
        <v>3788</v>
      </c>
      <c r="B244" t="s">
        <v>3789</v>
      </c>
      <c r="C244" t="s">
        <v>3325</v>
      </c>
      <c r="D244" t="s">
        <v>10</v>
      </c>
      <c r="E244">
        <v>614</v>
      </c>
      <c r="F244" t="b">
        <v>0</v>
      </c>
      <c r="G244" t="str">
        <f>HYPERLINK("https://www.google.com/maps/search/?api=1&amp;query=26.30561361,44.81352694", "View Map")</f>
        <v>View Map</v>
      </c>
    </row>
    <row r="245" spans="1:7" x14ac:dyDescent="0.3">
      <c r="A245" t="s">
        <v>3790</v>
      </c>
      <c r="B245" t="s">
        <v>3791</v>
      </c>
      <c r="C245" t="s">
        <v>3328</v>
      </c>
      <c r="D245" t="s">
        <v>154</v>
      </c>
      <c r="E245">
        <v>613</v>
      </c>
      <c r="F245" t="b">
        <v>0</v>
      </c>
      <c r="G245" t="str">
        <f>HYPERLINK("https://www.google.com/maps/search/?api=1&amp;query=25.22262532,45.27359013", "View Map")</f>
        <v>View Map</v>
      </c>
    </row>
    <row r="246" spans="1:7" x14ac:dyDescent="0.3">
      <c r="A246" t="s">
        <v>3792</v>
      </c>
      <c r="B246" t="s">
        <v>3793</v>
      </c>
      <c r="C246" t="s">
        <v>3320</v>
      </c>
      <c r="D246" t="s">
        <v>154</v>
      </c>
      <c r="E246">
        <v>610</v>
      </c>
      <c r="F246" t="b">
        <v>0</v>
      </c>
      <c r="G246" t="str">
        <f>HYPERLINK("https://www.google.com/maps/search/?api=1&amp;query=25.91854024,45.37129928", "View Map")</f>
        <v>View Map</v>
      </c>
    </row>
    <row r="247" spans="1:7" x14ac:dyDescent="0.3">
      <c r="A247" t="s">
        <v>3794</v>
      </c>
      <c r="B247" t="s">
        <v>3795</v>
      </c>
      <c r="C247" t="s">
        <v>3328</v>
      </c>
      <c r="D247" t="s">
        <v>10</v>
      </c>
      <c r="E247">
        <v>609</v>
      </c>
      <c r="F247" t="b">
        <v>0</v>
      </c>
      <c r="G247" t="str">
        <f>HYPERLINK("https://www.google.com/maps/search/?api=1&amp;query=25.29876206,45.51607859", "View Map")</f>
        <v>View Map</v>
      </c>
    </row>
    <row r="248" spans="1:7" x14ac:dyDescent="0.3">
      <c r="A248" t="s">
        <v>3796</v>
      </c>
      <c r="B248" t="s">
        <v>3797</v>
      </c>
      <c r="C248" t="s">
        <v>3328</v>
      </c>
      <c r="D248" t="s">
        <v>154</v>
      </c>
      <c r="E248">
        <v>608</v>
      </c>
      <c r="F248" t="b">
        <v>0</v>
      </c>
      <c r="G248" t="str">
        <f>HYPERLINK("https://www.google.com/maps/search/?api=1&amp;query=25.23092126,45.25887953", "View Map")</f>
        <v>View Map</v>
      </c>
    </row>
    <row r="249" spans="1:7" x14ac:dyDescent="0.3">
      <c r="A249" t="s">
        <v>3798</v>
      </c>
      <c r="B249" t="s">
        <v>3799</v>
      </c>
      <c r="C249" t="s">
        <v>3320</v>
      </c>
      <c r="D249" t="s">
        <v>10</v>
      </c>
      <c r="E249">
        <v>607</v>
      </c>
      <c r="F249" t="b">
        <v>0</v>
      </c>
      <c r="G249" t="str">
        <f>HYPERLINK("https://www.google.com/maps/search/?api=1&amp;query=25.92113663,45.37142969", "View Map")</f>
        <v>View Map</v>
      </c>
    </row>
    <row r="250" spans="1:7" x14ac:dyDescent="0.3">
      <c r="A250" t="s">
        <v>3800</v>
      </c>
      <c r="B250" t="s">
        <v>3801</v>
      </c>
      <c r="C250" t="s">
        <v>3325</v>
      </c>
      <c r="D250" t="s">
        <v>10</v>
      </c>
      <c r="E250">
        <v>607</v>
      </c>
      <c r="F250" t="b">
        <v>0</v>
      </c>
      <c r="G250" t="str">
        <f>HYPERLINK("https://www.google.com/maps/search/?api=1&amp;query=26.3180466,44.79630624", "View Map")</f>
        <v>View Map</v>
      </c>
    </row>
    <row r="251" spans="1:7" x14ac:dyDescent="0.3">
      <c r="A251" t="s">
        <v>3802</v>
      </c>
      <c r="B251" t="s">
        <v>3803</v>
      </c>
      <c r="C251" t="s">
        <v>3320</v>
      </c>
      <c r="D251" t="s">
        <v>154</v>
      </c>
      <c r="E251">
        <v>585</v>
      </c>
      <c r="F251" t="b">
        <v>1</v>
      </c>
      <c r="G251" t="str">
        <f>HYPERLINK("https://www.google.com/maps/search/?api=1&amp;query=25.90012722,45.36758724", "View Map")</f>
        <v>View Map</v>
      </c>
    </row>
    <row r="252" spans="1:7" x14ac:dyDescent="0.3">
      <c r="A252" t="s">
        <v>3804</v>
      </c>
      <c r="B252" t="s">
        <v>3805</v>
      </c>
      <c r="C252" t="s">
        <v>3320</v>
      </c>
      <c r="D252" t="s">
        <v>154</v>
      </c>
      <c r="E252">
        <v>560</v>
      </c>
      <c r="F252" t="b">
        <v>0</v>
      </c>
      <c r="G252" t="str">
        <f>HYPERLINK("https://www.google.com/maps/search/?api=1&amp;query=25.5980558,45.64463926", "View Map")</f>
        <v>View Map</v>
      </c>
    </row>
    <row r="253" spans="1:7" x14ac:dyDescent="0.3">
      <c r="A253" t="s">
        <v>3387</v>
      </c>
      <c r="B253" t="s">
        <v>3806</v>
      </c>
      <c r="C253" t="s">
        <v>3339</v>
      </c>
      <c r="D253" t="s">
        <v>154</v>
      </c>
      <c r="E253">
        <v>557</v>
      </c>
      <c r="F253" t="b">
        <v>1</v>
      </c>
      <c r="G253" t="str">
        <f>HYPERLINK("https://www.google.com/maps/search/?api=1&amp;query=24.91152198,45.86290293", "View Map")</f>
        <v>View Map</v>
      </c>
    </row>
    <row r="254" spans="1:7" x14ac:dyDescent="0.3">
      <c r="A254" t="s">
        <v>3807</v>
      </c>
      <c r="B254" t="s">
        <v>3808</v>
      </c>
      <c r="C254" t="s">
        <v>3328</v>
      </c>
      <c r="D254" t="s">
        <v>154</v>
      </c>
      <c r="E254">
        <v>550</v>
      </c>
      <c r="F254" t="b">
        <v>1</v>
      </c>
      <c r="G254" t="str">
        <f>HYPERLINK("https://www.google.com/maps/search/?api=1&amp;query=25.29597092,45.53238578", "View Map")</f>
        <v>View Map</v>
      </c>
    </row>
    <row r="255" spans="1:7" x14ac:dyDescent="0.3">
      <c r="A255" t="s">
        <v>3809</v>
      </c>
      <c r="B255" t="s">
        <v>3810</v>
      </c>
      <c r="C255" t="s">
        <v>3320</v>
      </c>
      <c r="D255" t="s">
        <v>154</v>
      </c>
      <c r="E255">
        <v>549</v>
      </c>
      <c r="F255" t="b">
        <v>0</v>
      </c>
      <c r="G255" t="str">
        <f>HYPERLINK("https://www.google.com/maps/search/?api=1&amp;query=25.90891683,45.36534775", "View Map")</f>
        <v>View Map</v>
      </c>
    </row>
    <row r="256" spans="1:7" x14ac:dyDescent="0.3">
      <c r="A256" t="s">
        <v>3387</v>
      </c>
      <c r="B256" t="s">
        <v>3811</v>
      </c>
      <c r="C256" t="s">
        <v>3389</v>
      </c>
      <c r="D256" t="s">
        <v>154</v>
      </c>
      <c r="E256">
        <v>548</v>
      </c>
      <c r="F256" t="b">
        <v>1</v>
      </c>
      <c r="G256" t="str">
        <f>HYPERLINK("https://www.google.com/maps/search/?api=1&amp;query=25.56065672,47.17776235", "View Map")</f>
        <v>View Map</v>
      </c>
    </row>
    <row r="257" spans="1:7" x14ac:dyDescent="0.3">
      <c r="A257" t="s">
        <v>3321</v>
      </c>
      <c r="B257" t="s">
        <v>3812</v>
      </c>
      <c r="C257" t="s">
        <v>3323</v>
      </c>
      <c r="D257" t="s">
        <v>154</v>
      </c>
      <c r="E257">
        <v>546</v>
      </c>
      <c r="F257" t="b">
        <v>1</v>
      </c>
      <c r="G257" t="str">
        <f>HYPERLINK("https://www.google.com/maps/search/?api=1&amp;query=25.21279172,45.86798379", "View Map")</f>
        <v>View Map</v>
      </c>
    </row>
    <row r="258" spans="1:7" x14ac:dyDescent="0.3">
      <c r="A258" t="s">
        <v>3813</v>
      </c>
      <c r="B258" t="s">
        <v>3814</v>
      </c>
      <c r="C258" t="s">
        <v>3352</v>
      </c>
      <c r="D258" t="s">
        <v>154</v>
      </c>
      <c r="E258">
        <v>542</v>
      </c>
      <c r="F258" t="b">
        <v>0</v>
      </c>
      <c r="G258" t="str">
        <f>HYPERLINK("https://www.google.com/maps/search/?api=1&amp;query=25.16763585,45.3982224", "View Map")</f>
        <v>View Map</v>
      </c>
    </row>
    <row r="259" spans="1:7" x14ac:dyDescent="0.3">
      <c r="A259" t="s">
        <v>3815</v>
      </c>
      <c r="B259" t="s">
        <v>3816</v>
      </c>
      <c r="C259" t="s">
        <v>3378</v>
      </c>
      <c r="D259" t="s">
        <v>154</v>
      </c>
      <c r="E259">
        <v>534</v>
      </c>
      <c r="F259" t="b">
        <v>0</v>
      </c>
      <c r="G259" t="str">
        <f>HYPERLINK("https://www.google.com/maps/search/?api=1&amp;query=26.03556668,44.93329609", "View Map")</f>
        <v>View Map</v>
      </c>
    </row>
    <row r="260" spans="1:7" x14ac:dyDescent="0.3">
      <c r="A260" t="s">
        <v>3355</v>
      </c>
      <c r="B260" t="s">
        <v>3817</v>
      </c>
      <c r="C260" t="s">
        <v>3339</v>
      </c>
      <c r="D260" t="s">
        <v>154</v>
      </c>
      <c r="E260">
        <v>533</v>
      </c>
      <c r="F260" t="b">
        <v>0</v>
      </c>
      <c r="G260" t="str">
        <f>HYPERLINK("https://www.google.com/maps/search/?api=1&amp;query=25.09997252,46.18732051", "View Map")</f>
        <v>View Map</v>
      </c>
    </row>
    <row r="261" spans="1:7" x14ac:dyDescent="0.3">
      <c r="A261" t="s">
        <v>3818</v>
      </c>
      <c r="B261" t="s">
        <v>3819</v>
      </c>
      <c r="C261" t="s">
        <v>3389</v>
      </c>
      <c r="D261" t="s">
        <v>154</v>
      </c>
      <c r="E261">
        <v>530</v>
      </c>
      <c r="F261" t="b">
        <v>1</v>
      </c>
      <c r="G261" t="str">
        <f>HYPERLINK("https://www.google.com/maps/search/?api=1&amp;query=25.53464809,47.17668441", "View Map")</f>
        <v>View Map</v>
      </c>
    </row>
    <row r="262" spans="1:7" x14ac:dyDescent="0.3">
      <c r="A262" t="s">
        <v>3444</v>
      </c>
      <c r="B262" t="s">
        <v>3820</v>
      </c>
      <c r="C262" t="s">
        <v>3328</v>
      </c>
      <c r="D262" t="s">
        <v>154</v>
      </c>
      <c r="E262">
        <v>520</v>
      </c>
      <c r="F262" t="b">
        <v>1</v>
      </c>
      <c r="G262" t="str">
        <f>HYPERLINK("https://www.google.com/maps/search/?api=1&amp;query=25.30138419,45.53439916", "View Map")</f>
        <v>View Map</v>
      </c>
    </row>
    <row r="263" spans="1:7" x14ac:dyDescent="0.3">
      <c r="A263" t="s">
        <v>3821</v>
      </c>
      <c r="B263" t="s">
        <v>3822</v>
      </c>
      <c r="C263" t="s">
        <v>3325</v>
      </c>
      <c r="D263" t="s">
        <v>154</v>
      </c>
      <c r="E263">
        <v>510</v>
      </c>
      <c r="F263" t="b">
        <v>0</v>
      </c>
      <c r="G263" t="str">
        <f>HYPERLINK("https://www.google.com/maps/search/?api=1&amp;query=26.31084787,44.79786931", "View Map")</f>
        <v>View Map</v>
      </c>
    </row>
    <row r="264" spans="1:7" x14ac:dyDescent="0.3">
      <c r="A264" t="s">
        <v>3823</v>
      </c>
      <c r="B264" t="s">
        <v>3824</v>
      </c>
      <c r="C264" t="s">
        <v>3352</v>
      </c>
      <c r="D264" t="s">
        <v>154</v>
      </c>
      <c r="E264">
        <v>509</v>
      </c>
      <c r="F264" t="b">
        <v>1</v>
      </c>
      <c r="G264" t="str">
        <f>HYPERLINK("https://www.google.com/maps/search/?api=1&amp;query=24.45302377,45.37580045", "View Map")</f>
        <v>View Map</v>
      </c>
    </row>
    <row r="265" spans="1:7" x14ac:dyDescent="0.3">
      <c r="A265" t="s">
        <v>3825</v>
      </c>
      <c r="B265" t="s">
        <v>3826</v>
      </c>
      <c r="C265" t="s">
        <v>3320</v>
      </c>
      <c r="D265" t="s">
        <v>10</v>
      </c>
      <c r="E265">
        <v>506</v>
      </c>
      <c r="F265" t="b">
        <v>0</v>
      </c>
      <c r="G265" t="str">
        <f>HYPERLINK("https://www.google.com/maps/search/?api=1&amp;query=25.70102713,45.59384034", "View Map")</f>
        <v>View Map</v>
      </c>
    </row>
    <row r="266" spans="1:7" x14ac:dyDescent="0.3">
      <c r="A266" t="s">
        <v>3827</v>
      </c>
      <c r="B266" t="s">
        <v>3828</v>
      </c>
      <c r="C266" t="s">
        <v>3320</v>
      </c>
      <c r="D266" t="s">
        <v>10</v>
      </c>
      <c r="E266">
        <v>505</v>
      </c>
      <c r="F266" t="b">
        <v>0</v>
      </c>
      <c r="G266" t="str">
        <f>HYPERLINK("https://www.google.com/maps/search/?api=1&amp;query=25.62308728,45.57784672", "View Map")</f>
        <v>View Map</v>
      </c>
    </row>
    <row r="267" spans="1:7" x14ac:dyDescent="0.3">
      <c r="A267" t="s">
        <v>3829</v>
      </c>
      <c r="B267" t="s">
        <v>3830</v>
      </c>
      <c r="C267" t="s">
        <v>3325</v>
      </c>
      <c r="D267" t="s">
        <v>154</v>
      </c>
      <c r="E267">
        <v>504</v>
      </c>
      <c r="F267" t="b">
        <v>0</v>
      </c>
      <c r="G267" t="str">
        <f>HYPERLINK("https://www.google.com/maps/search/?api=1&amp;query=26.29200344,44.81740767", "View Map")</f>
        <v>View Map</v>
      </c>
    </row>
    <row r="268" spans="1:7" x14ac:dyDescent="0.3">
      <c r="A268" t="s">
        <v>3444</v>
      </c>
      <c r="B268" t="s">
        <v>3831</v>
      </c>
      <c r="C268" t="s">
        <v>3328</v>
      </c>
      <c r="D268" t="s">
        <v>154</v>
      </c>
      <c r="E268">
        <v>502</v>
      </c>
      <c r="F268" t="b">
        <v>1</v>
      </c>
      <c r="G268" t="str">
        <f>HYPERLINK("https://www.google.com/maps/search/?api=1&amp;query=25.23727226,45.26997706", "View Map")</f>
        <v>View Map</v>
      </c>
    </row>
    <row r="269" spans="1:7" x14ac:dyDescent="0.3">
      <c r="A269" t="s">
        <v>3832</v>
      </c>
      <c r="B269" t="s">
        <v>3833</v>
      </c>
      <c r="C269" t="s">
        <v>3389</v>
      </c>
      <c r="D269" t="s">
        <v>154</v>
      </c>
      <c r="E269">
        <v>497</v>
      </c>
      <c r="F269" t="b">
        <v>1</v>
      </c>
      <c r="G269" t="str">
        <f>HYPERLINK("https://www.google.com/maps/search/?api=1&amp;query=25.4060951,47.20939746", "View Map")</f>
        <v>View Map</v>
      </c>
    </row>
    <row r="270" spans="1:7" x14ac:dyDescent="0.3">
      <c r="A270" t="s">
        <v>3834</v>
      </c>
      <c r="B270" t="s">
        <v>3835</v>
      </c>
      <c r="C270" t="s">
        <v>3320</v>
      </c>
      <c r="D270" t="s">
        <v>154</v>
      </c>
      <c r="E270">
        <v>495</v>
      </c>
      <c r="F270" t="b">
        <v>1</v>
      </c>
      <c r="G270" t="str">
        <f>HYPERLINK("https://www.google.com/maps/search/?api=1&amp;query=25.5886303,45.6929573", "View Map")</f>
        <v>View Map</v>
      </c>
    </row>
    <row r="271" spans="1:7" x14ac:dyDescent="0.3">
      <c r="A271" t="s">
        <v>3836</v>
      </c>
      <c r="B271" t="s">
        <v>3837</v>
      </c>
      <c r="C271" t="s">
        <v>3325</v>
      </c>
      <c r="D271" t="s">
        <v>154</v>
      </c>
      <c r="E271">
        <v>494</v>
      </c>
      <c r="F271" t="b">
        <v>0</v>
      </c>
      <c r="G271" t="str">
        <f>HYPERLINK("https://www.google.com/maps/search/?api=1&amp;query=26.31819154,44.81803649", "View Map")</f>
        <v>View Map</v>
      </c>
    </row>
    <row r="272" spans="1:7" x14ac:dyDescent="0.3">
      <c r="A272" t="s">
        <v>3838</v>
      </c>
      <c r="B272" t="s">
        <v>3839</v>
      </c>
      <c r="C272" t="s">
        <v>3325</v>
      </c>
      <c r="D272" t="s">
        <v>154</v>
      </c>
      <c r="E272">
        <v>489</v>
      </c>
      <c r="F272" t="b">
        <v>0</v>
      </c>
      <c r="G272" t="str">
        <f>HYPERLINK("https://www.google.com/maps/search/?api=1&amp;query=26.30284339,44.81066132", "View Map")</f>
        <v>View Map</v>
      </c>
    </row>
    <row r="273" spans="1:7" x14ac:dyDescent="0.3">
      <c r="A273" t="s">
        <v>3840</v>
      </c>
      <c r="B273" t="s">
        <v>3841</v>
      </c>
      <c r="C273" t="s">
        <v>3325</v>
      </c>
      <c r="D273" t="s">
        <v>154</v>
      </c>
      <c r="E273">
        <v>484</v>
      </c>
      <c r="F273" t="b">
        <v>0</v>
      </c>
      <c r="G273" t="str">
        <f>HYPERLINK("https://www.google.com/maps/search/?api=1&amp;query=26.29981539,44.80271123", "View Map")</f>
        <v>View Map</v>
      </c>
    </row>
    <row r="274" spans="1:7" x14ac:dyDescent="0.3">
      <c r="A274" t="s">
        <v>3842</v>
      </c>
      <c r="B274" t="s">
        <v>3843</v>
      </c>
      <c r="C274" t="s">
        <v>3320</v>
      </c>
      <c r="D274" t="s">
        <v>154</v>
      </c>
      <c r="E274">
        <v>480</v>
      </c>
      <c r="F274" t="b">
        <v>1</v>
      </c>
      <c r="G274" t="str">
        <f>HYPERLINK("https://www.google.com/maps/search/?api=1&amp;query=25.59876062,45.8003712", "View Map")</f>
        <v>View Map</v>
      </c>
    </row>
    <row r="275" spans="1:7" x14ac:dyDescent="0.3">
      <c r="A275" t="s">
        <v>3844</v>
      </c>
      <c r="B275" t="s">
        <v>3845</v>
      </c>
      <c r="C275" t="s">
        <v>3320</v>
      </c>
      <c r="D275" t="s">
        <v>154</v>
      </c>
      <c r="E275">
        <v>480</v>
      </c>
      <c r="F275" t="b">
        <v>0</v>
      </c>
      <c r="G275" t="str">
        <f>HYPERLINK("https://www.google.com/maps/search/?api=1&amp;query=25.59788567,45.6459508", "View Map")</f>
        <v>View Map</v>
      </c>
    </row>
    <row r="276" spans="1:7" x14ac:dyDescent="0.3">
      <c r="A276" t="s">
        <v>3846</v>
      </c>
      <c r="B276" t="s">
        <v>3847</v>
      </c>
      <c r="C276" t="s">
        <v>3325</v>
      </c>
      <c r="D276" t="s">
        <v>154</v>
      </c>
      <c r="E276">
        <v>480</v>
      </c>
      <c r="F276" t="b">
        <v>0</v>
      </c>
      <c r="G276" t="str">
        <f>HYPERLINK("https://www.google.com/maps/search/?api=1&amp;query=26.31732997,44.80952944", "View Map")</f>
        <v>View Map</v>
      </c>
    </row>
    <row r="277" spans="1:7" x14ac:dyDescent="0.3">
      <c r="A277" t="s">
        <v>3848</v>
      </c>
      <c r="B277" t="s">
        <v>3849</v>
      </c>
      <c r="C277" t="s">
        <v>3320</v>
      </c>
      <c r="D277" t="s">
        <v>154</v>
      </c>
      <c r="E277">
        <v>479</v>
      </c>
      <c r="F277" t="b">
        <v>0</v>
      </c>
      <c r="G277" t="str">
        <f>HYPERLINK("https://www.google.com/maps/search/?api=1&amp;query=25.92937657,45.38080519", "View Map")</f>
        <v>View Map</v>
      </c>
    </row>
    <row r="278" spans="1:7" x14ac:dyDescent="0.3">
      <c r="A278" t="s">
        <v>3850</v>
      </c>
      <c r="B278" t="s">
        <v>3851</v>
      </c>
      <c r="C278" t="s">
        <v>3325</v>
      </c>
      <c r="D278" t="s">
        <v>154</v>
      </c>
      <c r="E278">
        <v>474</v>
      </c>
      <c r="F278" t="b">
        <v>0</v>
      </c>
      <c r="G278" t="str">
        <f>HYPERLINK("https://www.google.com/maps/search/?api=1&amp;query=26.28890267,44.81689563", "View Map")</f>
        <v>View Map</v>
      </c>
    </row>
    <row r="279" spans="1:7" x14ac:dyDescent="0.3">
      <c r="A279" t="s">
        <v>3852</v>
      </c>
      <c r="B279" t="s">
        <v>3853</v>
      </c>
      <c r="C279" t="s">
        <v>3328</v>
      </c>
      <c r="D279" t="s">
        <v>154</v>
      </c>
      <c r="E279">
        <v>469</v>
      </c>
      <c r="F279" t="b">
        <v>1</v>
      </c>
      <c r="G279" t="str">
        <f>HYPERLINK("https://www.google.com/maps/search/?api=1&amp;query=25.23227944,45.31688893", "View Map")</f>
        <v>View Map</v>
      </c>
    </row>
    <row r="280" spans="1:7" x14ac:dyDescent="0.3">
      <c r="A280" t="s">
        <v>3854</v>
      </c>
      <c r="B280" t="s">
        <v>3855</v>
      </c>
      <c r="C280" t="s">
        <v>3328</v>
      </c>
      <c r="D280" t="s">
        <v>154</v>
      </c>
      <c r="E280">
        <v>464</v>
      </c>
      <c r="F280" t="b">
        <v>0</v>
      </c>
      <c r="G280" t="str">
        <f>HYPERLINK("https://www.google.com/maps/search/?api=1&amp;query=25.23393715,45.23860974", "View Map")</f>
        <v>View Map</v>
      </c>
    </row>
    <row r="281" spans="1:7" x14ac:dyDescent="0.3">
      <c r="A281" t="s">
        <v>3856</v>
      </c>
      <c r="B281" t="s">
        <v>3857</v>
      </c>
      <c r="C281" t="s">
        <v>3328</v>
      </c>
      <c r="D281" t="s">
        <v>154</v>
      </c>
      <c r="E281">
        <v>461</v>
      </c>
      <c r="F281" t="b">
        <v>1</v>
      </c>
      <c r="G281" t="str">
        <f>HYPERLINK("https://www.google.com/maps/search/?api=1&amp;query=25.22796608,45.25346721", "View Map")</f>
        <v>View Map</v>
      </c>
    </row>
    <row r="282" spans="1:7" x14ac:dyDescent="0.3">
      <c r="A282" t="s">
        <v>3858</v>
      </c>
      <c r="B282" t="s">
        <v>3859</v>
      </c>
      <c r="C282" t="s">
        <v>3325</v>
      </c>
      <c r="D282" t="s">
        <v>154</v>
      </c>
      <c r="E282">
        <v>459</v>
      </c>
      <c r="F282" t="b">
        <v>0</v>
      </c>
      <c r="G282" t="str">
        <f>HYPERLINK("https://www.google.com/maps/search/?api=1&amp;query=26.30723669,44.79485548", "View Map")</f>
        <v>View Map</v>
      </c>
    </row>
    <row r="283" spans="1:7" x14ac:dyDescent="0.3">
      <c r="A283" t="s">
        <v>3860</v>
      </c>
      <c r="B283" t="s">
        <v>3861</v>
      </c>
      <c r="C283" t="s">
        <v>3328</v>
      </c>
      <c r="D283" t="s">
        <v>154</v>
      </c>
      <c r="E283">
        <v>458</v>
      </c>
      <c r="F283" t="b">
        <v>0</v>
      </c>
      <c r="G283" t="str">
        <f>HYPERLINK("https://www.google.com/maps/search/?api=1&amp;query=25.29671813,45.50593938", "View Map")</f>
        <v>View Map</v>
      </c>
    </row>
    <row r="284" spans="1:7" x14ac:dyDescent="0.3">
      <c r="A284" t="s">
        <v>3862</v>
      </c>
      <c r="B284" t="s">
        <v>3863</v>
      </c>
      <c r="C284" t="s">
        <v>3325</v>
      </c>
      <c r="D284" t="s">
        <v>154</v>
      </c>
      <c r="E284">
        <v>456</v>
      </c>
      <c r="F284" t="b">
        <v>0</v>
      </c>
      <c r="G284" t="str">
        <f>HYPERLINK("https://www.google.com/maps/search/?api=1&amp;query=26.30309303,44.80032171", "View Map")</f>
        <v>View Map</v>
      </c>
    </row>
    <row r="285" spans="1:7" x14ac:dyDescent="0.3">
      <c r="A285" t="s">
        <v>3864</v>
      </c>
      <c r="B285" t="s">
        <v>3865</v>
      </c>
      <c r="C285" t="s">
        <v>3339</v>
      </c>
      <c r="D285" t="s">
        <v>154</v>
      </c>
      <c r="E285">
        <v>455</v>
      </c>
      <c r="F285" t="b">
        <v>0</v>
      </c>
      <c r="G285" t="str">
        <f>HYPERLINK("https://www.google.com/maps/search/?api=1&amp;query=25.15765335,46.18137643", "View Map")</f>
        <v>View Map</v>
      </c>
    </row>
    <row r="286" spans="1:7" x14ac:dyDescent="0.3">
      <c r="A286" t="s">
        <v>3866</v>
      </c>
      <c r="B286" t="s">
        <v>3867</v>
      </c>
      <c r="C286" t="s">
        <v>3328</v>
      </c>
      <c r="D286" t="s">
        <v>154</v>
      </c>
      <c r="E286">
        <v>455</v>
      </c>
      <c r="F286" t="b">
        <v>0</v>
      </c>
      <c r="G286" t="str">
        <f>HYPERLINK("https://www.google.com/maps/search/?api=1&amp;query=25.21522981,45.24311928", "View Map")</f>
        <v>View Map</v>
      </c>
    </row>
    <row r="287" spans="1:7" x14ac:dyDescent="0.3">
      <c r="A287" t="s">
        <v>3868</v>
      </c>
      <c r="B287" t="s">
        <v>3869</v>
      </c>
      <c r="C287" t="s">
        <v>3320</v>
      </c>
      <c r="D287" t="s">
        <v>154</v>
      </c>
      <c r="E287">
        <v>452</v>
      </c>
      <c r="F287" t="b">
        <v>0</v>
      </c>
      <c r="G287" t="str">
        <f>HYPERLINK("https://www.google.com/maps/search/?api=1&amp;query=25.62820918,45.58380264", "View Map")</f>
        <v>View Map</v>
      </c>
    </row>
    <row r="288" spans="1:7" x14ac:dyDescent="0.3">
      <c r="A288" t="s">
        <v>3870</v>
      </c>
      <c r="B288" t="s">
        <v>3871</v>
      </c>
      <c r="C288" t="s">
        <v>3339</v>
      </c>
      <c r="D288" t="s">
        <v>154</v>
      </c>
      <c r="E288">
        <v>451</v>
      </c>
      <c r="F288" t="b">
        <v>0</v>
      </c>
      <c r="G288" t="str">
        <f>HYPERLINK("https://www.google.com/maps/search/?api=1&amp;query=25.11112499,46.0953707", "View Map")</f>
        <v>View Map</v>
      </c>
    </row>
    <row r="289" spans="1:7" x14ac:dyDescent="0.3">
      <c r="A289" t="s">
        <v>3872</v>
      </c>
      <c r="B289" t="s">
        <v>3873</v>
      </c>
      <c r="C289" t="s">
        <v>3323</v>
      </c>
      <c r="D289" t="s">
        <v>154</v>
      </c>
      <c r="E289">
        <v>449</v>
      </c>
      <c r="F289" t="b">
        <v>0</v>
      </c>
      <c r="G289" t="str">
        <f>HYPERLINK("https://www.google.com/maps/search/?api=1&amp;query=25.30253411,45.95879675", "View Map")</f>
        <v>View Map</v>
      </c>
    </row>
    <row r="290" spans="1:7" x14ac:dyDescent="0.3">
      <c r="A290" t="s">
        <v>3874</v>
      </c>
      <c r="B290" t="s">
        <v>3875</v>
      </c>
      <c r="C290" t="s">
        <v>3320</v>
      </c>
      <c r="D290" t="s">
        <v>154</v>
      </c>
      <c r="E290">
        <v>446</v>
      </c>
      <c r="F290" t="b">
        <v>1</v>
      </c>
      <c r="G290" t="str">
        <f>HYPERLINK("https://www.google.com/maps/search/?api=1&amp;query=25.9142345,45.38042345", "View Map")</f>
        <v>View Map</v>
      </c>
    </row>
    <row r="291" spans="1:7" x14ac:dyDescent="0.3">
      <c r="A291" t="s">
        <v>3876</v>
      </c>
      <c r="B291" t="s">
        <v>3877</v>
      </c>
      <c r="C291" t="s">
        <v>3325</v>
      </c>
      <c r="D291" t="s">
        <v>154</v>
      </c>
      <c r="E291">
        <v>446</v>
      </c>
      <c r="F291" t="b">
        <v>0</v>
      </c>
      <c r="G291" t="str">
        <f>HYPERLINK("https://www.google.com/maps/search/?api=1&amp;query=26.31639593,44.81199981", "View Map")</f>
        <v>View Map</v>
      </c>
    </row>
    <row r="292" spans="1:7" x14ac:dyDescent="0.3">
      <c r="A292" t="s">
        <v>3878</v>
      </c>
      <c r="B292" t="s">
        <v>3879</v>
      </c>
      <c r="C292" t="s">
        <v>3323</v>
      </c>
      <c r="D292" t="s">
        <v>154</v>
      </c>
      <c r="E292">
        <v>445</v>
      </c>
      <c r="F292" t="b">
        <v>0</v>
      </c>
      <c r="G292" t="str">
        <f>HYPERLINK("https://www.google.com/maps/search/?api=1&amp;query=25.17437411,45.79239171", "View Map")</f>
        <v>View Map</v>
      </c>
    </row>
    <row r="293" spans="1:7" x14ac:dyDescent="0.3">
      <c r="A293" t="s">
        <v>3880</v>
      </c>
      <c r="B293" t="s">
        <v>3881</v>
      </c>
      <c r="C293" t="s">
        <v>3323</v>
      </c>
      <c r="D293" t="s">
        <v>154</v>
      </c>
      <c r="E293">
        <v>441</v>
      </c>
      <c r="F293" t="b">
        <v>0</v>
      </c>
      <c r="G293" t="str">
        <f>HYPERLINK("https://www.google.com/maps/search/?api=1&amp;query=25.29282558,45.94999221", "View Map")</f>
        <v>View Map</v>
      </c>
    </row>
    <row r="294" spans="1:7" x14ac:dyDescent="0.3">
      <c r="A294" t="s">
        <v>3321</v>
      </c>
      <c r="B294" t="s">
        <v>3882</v>
      </c>
      <c r="C294" t="s">
        <v>3323</v>
      </c>
      <c r="D294" t="s">
        <v>154</v>
      </c>
      <c r="E294">
        <v>441</v>
      </c>
      <c r="F294" t="b">
        <v>1</v>
      </c>
      <c r="G294" t="str">
        <f>HYPERLINK("https://www.google.com/maps/search/?api=1&amp;query=25.41745454,46.09906737", "View Map")</f>
        <v>View Map</v>
      </c>
    </row>
    <row r="295" spans="1:7" x14ac:dyDescent="0.3">
      <c r="A295" t="s">
        <v>3883</v>
      </c>
      <c r="B295" t="s">
        <v>3884</v>
      </c>
      <c r="C295" t="s">
        <v>3352</v>
      </c>
      <c r="D295" t="s">
        <v>154</v>
      </c>
      <c r="E295">
        <v>436</v>
      </c>
      <c r="F295" t="b">
        <v>1</v>
      </c>
      <c r="G295" t="str">
        <f>HYPERLINK("https://www.google.com/maps/search/?api=1&amp;query=24.54292639,45.32704888", "View Map")</f>
        <v>View Map</v>
      </c>
    </row>
    <row r="296" spans="1:7" x14ac:dyDescent="0.3">
      <c r="A296" t="s">
        <v>3355</v>
      </c>
      <c r="B296" t="s">
        <v>3885</v>
      </c>
      <c r="C296" t="s">
        <v>3339</v>
      </c>
      <c r="D296" t="s">
        <v>154</v>
      </c>
      <c r="E296">
        <v>436</v>
      </c>
      <c r="F296" t="b">
        <v>1</v>
      </c>
      <c r="G296" t="str">
        <f>HYPERLINK("https://www.google.com/maps/search/?api=1&amp;query=25.12282935,46.09716559", "View Map")</f>
        <v>View Map</v>
      </c>
    </row>
    <row r="297" spans="1:7" x14ac:dyDescent="0.3">
      <c r="A297" t="s">
        <v>3387</v>
      </c>
      <c r="B297" t="s">
        <v>3886</v>
      </c>
      <c r="C297" t="s">
        <v>3389</v>
      </c>
      <c r="D297" t="s">
        <v>154</v>
      </c>
      <c r="E297">
        <v>433</v>
      </c>
      <c r="F297" t="b">
        <v>1</v>
      </c>
      <c r="G297" t="str">
        <f>HYPERLINK("https://www.google.com/maps/search/?api=1&amp;query=25.54570286,47.18226972", "View Map")</f>
        <v>View Map</v>
      </c>
    </row>
    <row r="298" spans="1:7" x14ac:dyDescent="0.3">
      <c r="A298" t="s">
        <v>3887</v>
      </c>
      <c r="B298" t="s">
        <v>3888</v>
      </c>
      <c r="C298" t="s">
        <v>3320</v>
      </c>
      <c r="D298" t="s">
        <v>154</v>
      </c>
      <c r="E298">
        <v>432</v>
      </c>
      <c r="F298" t="b">
        <v>0</v>
      </c>
      <c r="G298" t="str">
        <f>HYPERLINK("https://www.google.com/maps/search/?api=1&amp;query=25.72059994,45.85915695", "View Map")</f>
        <v>View Map</v>
      </c>
    </row>
    <row r="299" spans="1:7" x14ac:dyDescent="0.3">
      <c r="A299" t="s">
        <v>3889</v>
      </c>
      <c r="B299" t="s">
        <v>3890</v>
      </c>
      <c r="C299" t="s">
        <v>3325</v>
      </c>
      <c r="D299" t="s">
        <v>154</v>
      </c>
      <c r="E299">
        <v>430</v>
      </c>
      <c r="F299" t="b">
        <v>0</v>
      </c>
      <c r="G299" t="str">
        <f>HYPERLINK("https://www.google.com/maps/search/?api=1&amp;query=26.29128665,44.83709874", "View Map")</f>
        <v>View Map</v>
      </c>
    </row>
    <row r="300" spans="1:7" x14ac:dyDescent="0.3">
      <c r="A300" t="s">
        <v>3891</v>
      </c>
      <c r="B300" t="s">
        <v>3892</v>
      </c>
      <c r="C300" t="s">
        <v>3378</v>
      </c>
      <c r="D300" t="s">
        <v>154</v>
      </c>
      <c r="E300">
        <v>430</v>
      </c>
      <c r="F300" t="b">
        <v>0</v>
      </c>
      <c r="G300" t="str">
        <f>HYPERLINK("https://www.google.com/maps/search/?api=1&amp;query=26.03669914,44.94076432", "View Map")</f>
        <v>View Map</v>
      </c>
    </row>
    <row r="301" spans="1:7" x14ac:dyDescent="0.3">
      <c r="A301" t="s">
        <v>3893</v>
      </c>
      <c r="B301" t="s">
        <v>3894</v>
      </c>
      <c r="C301" t="s">
        <v>3320</v>
      </c>
      <c r="D301" t="s">
        <v>154</v>
      </c>
      <c r="E301">
        <v>427</v>
      </c>
      <c r="F301" t="b">
        <v>0</v>
      </c>
      <c r="G301" t="str">
        <f>HYPERLINK("https://www.google.com/maps/search/?api=1&amp;query=25.55685114,45.67757409", "View Map")</f>
        <v>View Map</v>
      </c>
    </row>
    <row r="302" spans="1:7" x14ac:dyDescent="0.3">
      <c r="A302" t="s">
        <v>3895</v>
      </c>
      <c r="B302" t="s">
        <v>3896</v>
      </c>
      <c r="C302" t="s">
        <v>3328</v>
      </c>
      <c r="D302" t="s">
        <v>154</v>
      </c>
      <c r="E302">
        <v>427</v>
      </c>
      <c r="F302" t="b">
        <v>0</v>
      </c>
      <c r="G302" t="str">
        <f>HYPERLINK("https://www.google.com/maps/search/?api=1&amp;query=25.29272909,45.51955166", "View Map")</f>
        <v>View Map</v>
      </c>
    </row>
    <row r="303" spans="1:7" x14ac:dyDescent="0.3">
      <c r="A303" t="s">
        <v>3897</v>
      </c>
      <c r="B303" t="s">
        <v>3898</v>
      </c>
      <c r="C303" t="s">
        <v>3320</v>
      </c>
      <c r="D303" t="s">
        <v>154</v>
      </c>
      <c r="E303">
        <v>426</v>
      </c>
      <c r="F303" t="b">
        <v>0</v>
      </c>
      <c r="G303" t="str">
        <f>HYPERLINK("https://www.google.com/maps/search/?api=1&amp;query=25.90401363,45.36998863", "View Map")</f>
        <v>View Map</v>
      </c>
    </row>
    <row r="304" spans="1:7" x14ac:dyDescent="0.3">
      <c r="A304" t="s">
        <v>3899</v>
      </c>
      <c r="B304" t="s">
        <v>3900</v>
      </c>
      <c r="C304" t="s">
        <v>3328</v>
      </c>
      <c r="D304" t="s">
        <v>154</v>
      </c>
      <c r="E304">
        <v>426</v>
      </c>
      <c r="F304" t="b">
        <v>0</v>
      </c>
      <c r="G304" t="str">
        <f>HYPERLINK("https://www.google.com/maps/search/?api=1&amp;query=25.57061311,45.27738102", "View Map")</f>
        <v>View Map</v>
      </c>
    </row>
    <row r="305" spans="1:7" x14ac:dyDescent="0.3">
      <c r="A305" t="s">
        <v>3901</v>
      </c>
      <c r="B305" t="s">
        <v>3902</v>
      </c>
      <c r="C305" t="s">
        <v>3352</v>
      </c>
      <c r="D305" t="s">
        <v>154</v>
      </c>
      <c r="E305">
        <v>426</v>
      </c>
      <c r="F305" t="b">
        <v>1</v>
      </c>
      <c r="G305" t="str">
        <f>HYPERLINK("https://www.google.com/maps/search/?api=1&amp;query=25.06990192,45.47378204", "View Map")</f>
        <v>View Map</v>
      </c>
    </row>
    <row r="306" spans="1:7" x14ac:dyDescent="0.3">
      <c r="A306" t="s">
        <v>3903</v>
      </c>
      <c r="B306" t="s">
        <v>3904</v>
      </c>
      <c r="C306" t="s">
        <v>3320</v>
      </c>
      <c r="D306" t="s">
        <v>154</v>
      </c>
      <c r="E306">
        <v>424</v>
      </c>
      <c r="F306" t="b">
        <v>1</v>
      </c>
      <c r="G306" t="str">
        <f>HYPERLINK("https://www.google.com/maps/search/?api=1&amp;query=25.5925548,45.79608624", "View Map")</f>
        <v>View Map</v>
      </c>
    </row>
    <row r="307" spans="1:7" x14ac:dyDescent="0.3">
      <c r="A307" t="s">
        <v>3355</v>
      </c>
      <c r="B307" t="s">
        <v>3905</v>
      </c>
      <c r="C307" t="s">
        <v>3339</v>
      </c>
      <c r="D307" t="s">
        <v>154</v>
      </c>
      <c r="E307">
        <v>424</v>
      </c>
      <c r="F307" t="b">
        <v>1</v>
      </c>
      <c r="G307" t="str">
        <f>HYPERLINK("https://www.google.com/maps/search/?api=1&amp;query=25.12644658,46.08275716", "View Map")</f>
        <v>View Map</v>
      </c>
    </row>
    <row r="308" spans="1:7" x14ac:dyDescent="0.3">
      <c r="A308" t="s">
        <v>3906</v>
      </c>
      <c r="B308" t="s">
        <v>3907</v>
      </c>
      <c r="C308" t="s">
        <v>3320</v>
      </c>
      <c r="D308" t="s">
        <v>154</v>
      </c>
      <c r="E308">
        <v>423</v>
      </c>
      <c r="F308" t="b">
        <v>0</v>
      </c>
      <c r="G308" t="str">
        <f>HYPERLINK("https://www.google.com/maps/search/?api=1&amp;query=25.91347112,45.37601134", "View Map")</f>
        <v>View Map</v>
      </c>
    </row>
    <row r="309" spans="1:7" x14ac:dyDescent="0.3">
      <c r="A309" t="s">
        <v>3355</v>
      </c>
      <c r="B309" t="s">
        <v>3908</v>
      </c>
      <c r="C309" t="s">
        <v>3339</v>
      </c>
      <c r="D309" t="s">
        <v>10</v>
      </c>
      <c r="E309">
        <v>380</v>
      </c>
      <c r="F309" t="b">
        <v>0</v>
      </c>
      <c r="G309" t="str">
        <f>HYPERLINK("https://www.google.com/maps/search/?api=1&amp;query=25.11783538,46.15459488", "View Map")</f>
        <v>View Map</v>
      </c>
    </row>
    <row r="310" spans="1:7" x14ac:dyDescent="0.3">
      <c r="A310" t="s">
        <v>3321</v>
      </c>
      <c r="B310" t="s">
        <v>3909</v>
      </c>
      <c r="C310" t="s">
        <v>3323</v>
      </c>
      <c r="D310" t="s">
        <v>154</v>
      </c>
      <c r="E310">
        <v>377</v>
      </c>
      <c r="F310" t="b">
        <v>1</v>
      </c>
      <c r="G310" t="str">
        <f>HYPERLINK("https://www.google.com/maps/search/?api=1&amp;query=25.17292047,45.81282185", "View Map")</f>
        <v>View Map</v>
      </c>
    </row>
    <row r="311" spans="1:7" x14ac:dyDescent="0.3">
      <c r="A311" t="s">
        <v>3357</v>
      </c>
      <c r="B311" t="s">
        <v>3910</v>
      </c>
      <c r="C311" t="s">
        <v>3320</v>
      </c>
      <c r="D311" t="s">
        <v>10</v>
      </c>
      <c r="E311">
        <v>352</v>
      </c>
      <c r="F311" t="b">
        <v>0</v>
      </c>
      <c r="G311" t="str">
        <f>HYPERLINK("https://www.google.com/maps/search/?api=1&amp;query=25.70290708,45.45487016", "View Map")</f>
        <v>View Map</v>
      </c>
    </row>
    <row r="312" spans="1:7" x14ac:dyDescent="0.3">
      <c r="A312" t="s">
        <v>3387</v>
      </c>
      <c r="B312" t="s">
        <v>3911</v>
      </c>
      <c r="C312" t="s">
        <v>3389</v>
      </c>
      <c r="D312" t="s">
        <v>154</v>
      </c>
      <c r="E312">
        <v>345</v>
      </c>
      <c r="F312" t="b">
        <v>0</v>
      </c>
      <c r="G312" t="str">
        <f>HYPERLINK("https://www.google.com/maps/search/?api=1&amp;query=25.55042611,47.16719384", "View Map")</f>
        <v>View Map</v>
      </c>
    </row>
    <row r="313" spans="1:7" x14ac:dyDescent="0.3">
      <c r="A313" t="s">
        <v>3912</v>
      </c>
      <c r="B313" t="s">
        <v>3913</v>
      </c>
      <c r="C313" t="s">
        <v>3328</v>
      </c>
      <c r="D313" t="s">
        <v>154</v>
      </c>
      <c r="E313">
        <v>336</v>
      </c>
      <c r="F313" t="b">
        <v>1</v>
      </c>
      <c r="G313" t="str">
        <f>HYPERLINK("https://www.google.com/maps/search/?api=1&amp;query=25.34166357,45.18067738", "View Map")</f>
        <v>View Map</v>
      </c>
    </row>
    <row r="314" spans="1:7" x14ac:dyDescent="0.3">
      <c r="A314" t="s">
        <v>3914</v>
      </c>
      <c r="B314" t="s">
        <v>3915</v>
      </c>
      <c r="C314" t="s">
        <v>3323</v>
      </c>
      <c r="D314" t="s">
        <v>1715</v>
      </c>
      <c r="E314">
        <v>319</v>
      </c>
      <c r="F314" t="b">
        <v>0</v>
      </c>
      <c r="G314" t="str">
        <f>HYPERLINK("https://www.google.com/maps/search/?api=1&amp;query=25.17208609,45.80203158", "View Map")</f>
        <v>View Map</v>
      </c>
    </row>
    <row r="315" spans="1:7" x14ac:dyDescent="0.3">
      <c r="A315" t="s">
        <v>3916</v>
      </c>
      <c r="B315" t="s">
        <v>3917</v>
      </c>
      <c r="C315" t="s">
        <v>3339</v>
      </c>
      <c r="D315" t="s">
        <v>154</v>
      </c>
      <c r="E315">
        <v>297</v>
      </c>
      <c r="F315" t="b">
        <v>0</v>
      </c>
      <c r="G315" t="str">
        <f>HYPERLINK("https://www.google.com/maps/search/?api=1&amp;query=25.10193964,46.10714558", "View Map")</f>
        <v>View Map</v>
      </c>
    </row>
    <row r="316" spans="1:7" x14ac:dyDescent="0.3">
      <c r="A316" t="s">
        <v>3918</v>
      </c>
      <c r="B316" t="s">
        <v>3919</v>
      </c>
      <c r="C316" t="s">
        <v>3328</v>
      </c>
      <c r="D316" t="s">
        <v>1715</v>
      </c>
      <c r="E316">
        <v>294</v>
      </c>
      <c r="F316" t="b">
        <v>0</v>
      </c>
      <c r="G316" t="str">
        <f>HYPERLINK("https://www.google.com/maps/search/?api=1&amp;query=25.22967157,45.24610691", "View Map")</f>
        <v>View Map</v>
      </c>
    </row>
    <row r="317" spans="1:7" x14ac:dyDescent="0.3">
      <c r="A317" t="s">
        <v>3920</v>
      </c>
      <c r="B317" t="s">
        <v>3921</v>
      </c>
      <c r="C317" t="s">
        <v>3320</v>
      </c>
      <c r="D317" t="s">
        <v>154</v>
      </c>
      <c r="E317">
        <v>293</v>
      </c>
      <c r="F317" t="b">
        <v>0</v>
      </c>
      <c r="G317" t="str">
        <f>HYPERLINK("https://www.google.com/maps/search/?api=1&amp;query=26.50001577,45.34959659", "View Map")</f>
        <v>View Map</v>
      </c>
    </row>
    <row r="318" spans="1:7" x14ac:dyDescent="0.3">
      <c r="A318" t="s">
        <v>3922</v>
      </c>
      <c r="B318" t="s">
        <v>3923</v>
      </c>
      <c r="C318" t="s">
        <v>3323</v>
      </c>
      <c r="D318" t="s">
        <v>1715</v>
      </c>
      <c r="E318">
        <v>286</v>
      </c>
      <c r="F318" t="b">
        <v>1</v>
      </c>
      <c r="G318" t="str">
        <f>HYPERLINK("https://www.google.com/maps/search/?api=1&amp;query=25.21291199,45.74798068", "View Map")</f>
        <v>View Map</v>
      </c>
    </row>
    <row r="319" spans="1:7" x14ac:dyDescent="0.3">
      <c r="A319" t="s">
        <v>3924</v>
      </c>
      <c r="B319" t="s">
        <v>3925</v>
      </c>
      <c r="C319" t="s">
        <v>3389</v>
      </c>
      <c r="D319" t="s">
        <v>154</v>
      </c>
      <c r="E319">
        <v>282</v>
      </c>
      <c r="F319" t="b">
        <v>1</v>
      </c>
      <c r="G319" t="str">
        <f>HYPERLINK("https://www.google.com/maps/search/?api=1&amp;query=25.68843357,46.56306782", "View Map")</f>
        <v>View Map</v>
      </c>
    </row>
    <row r="320" spans="1:7" x14ac:dyDescent="0.3">
      <c r="A320" t="s">
        <v>3926</v>
      </c>
      <c r="B320" t="s">
        <v>3927</v>
      </c>
      <c r="C320" t="s">
        <v>3339</v>
      </c>
      <c r="D320" t="s">
        <v>1715</v>
      </c>
      <c r="E320">
        <v>230</v>
      </c>
      <c r="F320" t="b">
        <v>0</v>
      </c>
      <c r="G320" t="str">
        <f>HYPERLINK("https://www.google.com/maps/search/?api=1&amp;query=25.16525364,46.32879618", "View Map")</f>
        <v>View Map</v>
      </c>
    </row>
    <row r="321" spans="1:7" x14ac:dyDescent="0.3">
      <c r="A321" t="s">
        <v>3928</v>
      </c>
      <c r="B321" t="s">
        <v>3929</v>
      </c>
      <c r="C321" t="s">
        <v>3325</v>
      </c>
      <c r="D321" t="s">
        <v>1715</v>
      </c>
      <c r="E321">
        <v>220</v>
      </c>
      <c r="F321" t="b">
        <v>0</v>
      </c>
      <c r="G321" t="str">
        <f>HYPERLINK("https://www.google.com/maps/search/?api=1&amp;query=26.28408249,44.83003683", "View Map")</f>
        <v>View Map</v>
      </c>
    </row>
    <row r="322" spans="1:7" x14ac:dyDescent="0.3">
      <c r="A322" t="s">
        <v>3930</v>
      </c>
      <c r="B322" t="s">
        <v>3931</v>
      </c>
      <c r="C322" t="s">
        <v>3339</v>
      </c>
      <c r="D322" t="s">
        <v>1715</v>
      </c>
      <c r="E322">
        <v>219</v>
      </c>
      <c r="F322" t="b">
        <v>0</v>
      </c>
      <c r="G322" t="str">
        <f>HYPERLINK("https://www.google.com/maps/search/?api=1&amp;query=25.11293994,46.10214085", "View Map")</f>
        <v>View Map</v>
      </c>
    </row>
    <row r="323" spans="1:7" x14ac:dyDescent="0.3">
      <c r="A323" t="s">
        <v>3932</v>
      </c>
      <c r="B323" t="s">
        <v>3933</v>
      </c>
      <c r="C323" t="s">
        <v>3325</v>
      </c>
      <c r="D323" t="s">
        <v>1715</v>
      </c>
      <c r="E323">
        <v>211</v>
      </c>
      <c r="F323" t="b">
        <v>1</v>
      </c>
      <c r="G323" t="str">
        <f>HYPERLINK("https://www.google.com/maps/search/?api=1&amp;query=26.29900201,44.79862389", "View Map")</f>
        <v>View Map</v>
      </c>
    </row>
    <row r="324" spans="1:7" x14ac:dyDescent="0.3">
      <c r="A324" t="s">
        <v>3353</v>
      </c>
      <c r="B324" t="s">
        <v>3934</v>
      </c>
      <c r="C324" t="s">
        <v>3325</v>
      </c>
      <c r="D324" t="s">
        <v>1715</v>
      </c>
      <c r="E324">
        <v>209</v>
      </c>
      <c r="F324" t="b">
        <v>1</v>
      </c>
      <c r="G324" t="str">
        <f>HYPERLINK("https://www.google.com/maps/search/?api=1&amp;query=26.28873354,44.81367966", "View Map")</f>
        <v>View Map</v>
      </c>
    </row>
    <row r="325" spans="1:7" x14ac:dyDescent="0.3">
      <c r="A325" t="s">
        <v>3935</v>
      </c>
      <c r="B325" t="s">
        <v>3936</v>
      </c>
      <c r="C325" t="s">
        <v>3320</v>
      </c>
      <c r="D325" t="s">
        <v>1715</v>
      </c>
      <c r="E325">
        <v>188</v>
      </c>
      <c r="F325" t="b">
        <v>1</v>
      </c>
      <c r="G325" t="str">
        <f>HYPERLINK("https://www.google.com/maps/search/?api=1&amp;query=25.69664192,45.88027634", "View Map")</f>
        <v>View Map</v>
      </c>
    </row>
    <row r="326" spans="1:7" x14ac:dyDescent="0.3">
      <c r="A326" t="s">
        <v>3357</v>
      </c>
      <c r="B326" t="s">
        <v>3937</v>
      </c>
      <c r="C326" t="s">
        <v>3320</v>
      </c>
      <c r="D326" t="s">
        <v>1715</v>
      </c>
      <c r="E326">
        <v>185</v>
      </c>
      <c r="F326" t="b">
        <v>0</v>
      </c>
      <c r="G326" t="str">
        <f>HYPERLINK("https://www.google.com/maps/search/?api=1&amp;query=25.70290708,45.45487016", "View Map")</f>
        <v>View Map</v>
      </c>
    </row>
    <row r="327" spans="1:7" x14ac:dyDescent="0.3">
      <c r="A327" t="s">
        <v>3938</v>
      </c>
      <c r="B327" t="s">
        <v>3939</v>
      </c>
      <c r="C327" t="s">
        <v>3328</v>
      </c>
      <c r="D327" t="s">
        <v>1715</v>
      </c>
      <c r="E327">
        <v>183</v>
      </c>
      <c r="F327" t="b">
        <v>0</v>
      </c>
      <c r="G327" t="str">
        <f>HYPERLINK("https://www.google.com/maps/search/?api=1&amp;query=25.33741741,45.17638344", "View Map")</f>
        <v>View Map</v>
      </c>
    </row>
    <row r="328" spans="1:7" x14ac:dyDescent="0.3">
      <c r="A328" t="s">
        <v>3940</v>
      </c>
      <c r="B328" t="s">
        <v>3941</v>
      </c>
      <c r="C328" t="s">
        <v>3325</v>
      </c>
      <c r="D328" t="s">
        <v>1715</v>
      </c>
      <c r="E328">
        <v>177</v>
      </c>
      <c r="F328" t="b">
        <v>1</v>
      </c>
      <c r="G328" t="str">
        <f>HYPERLINK("https://www.google.com/maps/search/?api=1&amp;query=26.29793091,44.81972532", "View Map")</f>
        <v>View Map</v>
      </c>
    </row>
    <row r="329" spans="1:7" x14ac:dyDescent="0.3">
      <c r="A329" t="s">
        <v>3942</v>
      </c>
      <c r="B329" t="s">
        <v>3943</v>
      </c>
      <c r="C329" t="s">
        <v>3339</v>
      </c>
      <c r="D329" t="s">
        <v>1715</v>
      </c>
      <c r="E329">
        <v>166</v>
      </c>
      <c r="F329" t="b">
        <v>0</v>
      </c>
      <c r="G329" t="str">
        <f>HYPERLINK("https://www.google.com/maps/search/?api=1&amp;query=25.10761092,46.08784355", "View Map")</f>
        <v>View Map</v>
      </c>
    </row>
    <row r="330" spans="1:7" x14ac:dyDescent="0.3">
      <c r="A330" t="s">
        <v>3944</v>
      </c>
      <c r="B330" t="s">
        <v>3945</v>
      </c>
      <c r="C330" t="s">
        <v>3339</v>
      </c>
      <c r="D330" t="s">
        <v>1715</v>
      </c>
      <c r="E330">
        <v>113</v>
      </c>
      <c r="F330" t="b">
        <v>0</v>
      </c>
      <c r="G330" t="str">
        <f>HYPERLINK("https://www.google.com/maps/search/?api=1&amp;query=25.11899709,46.12709886",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76"/>
  <sheetViews>
    <sheetView workbookViewId="0"/>
  </sheetViews>
  <sheetFormatPr defaultRowHeight="14.4" x14ac:dyDescent="0.3"/>
  <cols>
    <col min="1" max="1" width="40" customWidth="1"/>
    <col min="2" max="2" width="18" customWidth="1"/>
    <col min="3" max="3" width="11" customWidth="1"/>
    <col min="4" max="4" width="20" customWidth="1"/>
    <col min="5" max="5" width="24" customWidth="1"/>
    <col min="6" max="6" width="13" customWidth="1"/>
    <col min="7" max="7" width="99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3946</v>
      </c>
      <c r="B2" t="s">
        <v>3947</v>
      </c>
      <c r="C2" t="s">
        <v>3948</v>
      </c>
      <c r="D2" t="s">
        <v>10</v>
      </c>
      <c r="E2">
        <v>5722</v>
      </c>
      <c r="F2" t="b">
        <v>1</v>
      </c>
      <c r="G2" t="str">
        <f>HYPERLINK("https://www.google.com/maps/search/?api=1&amp;query=24.49120647,44.36657021", "View Map")</f>
        <v>View Map</v>
      </c>
    </row>
    <row r="3" spans="1:7" x14ac:dyDescent="0.3">
      <c r="A3" t="s">
        <v>3949</v>
      </c>
      <c r="B3" t="s">
        <v>3950</v>
      </c>
      <c r="C3" t="s">
        <v>3951</v>
      </c>
      <c r="D3" t="s">
        <v>10</v>
      </c>
      <c r="E3">
        <v>3710</v>
      </c>
      <c r="F3" t="b">
        <v>1</v>
      </c>
      <c r="G3" t="str">
        <f>HYPERLINK("https://www.google.com/maps/search/?api=1&amp;query=23.72264249,44.65141602", "View Map")</f>
        <v>View Map</v>
      </c>
    </row>
    <row r="4" spans="1:7" x14ac:dyDescent="0.3">
      <c r="A4" t="s">
        <v>3952</v>
      </c>
      <c r="B4" t="s">
        <v>3953</v>
      </c>
      <c r="C4" t="s">
        <v>3954</v>
      </c>
      <c r="D4" t="s">
        <v>10</v>
      </c>
      <c r="E4">
        <v>3308</v>
      </c>
      <c r="F4" t="b">
        <v>1</v>
      </c>
      <c r="G4" t="str">
        <f>HYPERLINK("https://www.google.com/maps/search/?api=1&amp;query=22.53108548,45.07763164", "View Map")</f>
        <v>View Map</v>
      </c>
    </row>
    <row r="5" spans="1:7" x14ac:dyDescent="0.3">
      <c r="A5" t="s">
        <v>3955</v>
      </c>
      <c r="B5" t="s">
        <v>3956</v>
      </c>
      <c r="C5" t="s">
        <v>3948</v>
      </c>
      <c r="D5" t="s">
        <v>10</v>
      </c>
      <c r="E5">
        <v>2602</v>
      </c>
      <c r="F5" t="b">
        <v>1</v>
      </c>
      <c r="G5" t="str">
        <f>HYPERLINK("https://www.google.com/maps/search/?api=1&amp;query=24.73457848,43.7884768", "View Map")</f>
        <v>View Map</v>
      </c>
    </row>
    <row r="6" spans="1:7" x14ac:dyDescent="0.3">
      <c r="A6" t="s">
        <v>3957</v>
      </c>
      <c r="B6" t="s">
        <v>3958</v>
      </c>
      <c r="C6" t="s">
        <v>3948</v>
      </c>
      <c r="D6" t="s">
        <v>10</v>
      </c>
      <c r="E6">
        <v>2552</v>
      </c>
      <c r="F6" t="b">
        <v>1</v>
      </c>
      <c r="G6" t="str">
        <f>HYPERLINK("https://www.google.com/maps/search/?api=1&amp;query=24.61841351,43.65445251", "View Map")</f>
        <v>View Map</v>
      </c>
    </row>
    <row r="7" spans="1:7" x14ac:dyDescent="0.3">
      <c r="A7" t="s">
        <v>3959</v>
      </c>
      <c r="B7" t="s">
        <v>3960</v>
      </c>
      <c r="C7" t="s">
        <v>3961</v>
      </c>
      <c r="D7" t="s">
        <v>10</v>
      </c>
      <c r="E7">
        <v>2409</v>
      </c>
      <c r="F7" t="b">
        <v>1</v>
      </c>
      <c r="G7" t="str">
        <f>HYPERLINK("https://www.google.com/maps/search/?api=1&amp;query=24.23117298,41.73661888", "View Map")</f>
        <v>View Map</v>
      </c>
    </row>
    <row r="8" spans="1:7" x14ac:dyDescent="0.3">
      <c r="A8" t="s">
        <v>3962</v>
      </c>
      <c r="B8" t="s">
        <v>3963</v>
      </c>
      <c r="C8" t="s">
        <v>3951</v>
      </c>
      <c r="D8" t="s">
        <v>10</v>
      </c>
      <c r="E8">
        <v>2199</v>
      </c>
      <c r="F8" t="b">
        <v>1</v>
      </c>
      <c r="G8" t="str">
        <f>HYPERLINK("https://www.google.com/maps/search/?api=1&amp;query=23.52366,44.43464333", "View Map")</f>
        <v>View Map</v>
      </c>
    </row>
    <row r="9" spans="1:7" x14ac:dyDescent="0.3">
      <c r="A9" t="s">
        <v>3964</v>
      </c>
      <c r="B9" t="s">
        <v>3965</v>
      </c>
      <c r="C9" t="s">
        <v>3948</v>
      </c>
      <c r="D9" t="s">
        <v>10</v>
      </c>
      <c r="E9">
        <v>2008</v>
      </c>
      <c r="F9" t="b">
        <v>1</v>
      </c>
      <c r="G9" t="str">
        <f>HYPERLINK("https://www.google.com/maps/search/?api=1&amp;query=25.48616984,44.41268928", "View Map")</f>
        <v>View Map</v>
      </c>
    </row>
    <row r="10" spans="1:7" x14ac:dyDescent="0.3">
      <c r="A10" t="s">
        <v>3966</v>
      </c>
      <c r="B10" t="s">
        <v>3967</v>
      </c>
      <c r="C10" t="s">
        <v>3948</v>
      </c>
      <c r="D10" t="s">
        <v>10</v>
      </c>
      <c r="E10">
        <v>1990</v>
      </c>
      <c r="F10" t="b">
        <v>1</v>
      </c>
      <c r="G10" t="str">
        <f>HYPERLINK("https://www.google.com/maps/search/?api=1&amp;query=25.17998354,44.59820068", "View Map")</f>
        <v>View Map</v>
      </c>
    </row>
    <row r="11" spans="1:7" x14ac:dyDescent="0.3">
      <c r="A11" t="s">
        <v>3968</v>
      </c>
      <c r="B11" t="s">
        <v>3969</v>
      </c>
      <c r="C11" t="s">
        <v>3948</v>
      </c>
      <c r="D11" t="s">
        <v>10</v>
      </c>
      <c r="E11">
        <v>1973</v>
      </c>
      <c r="F11" t="b">
        <v>1</v>
      </c>
      <c r="G11" t="str">
        <f>HYPERLINK("https://www.google.com/maps/search/?api=1&amp;query=25.11077649,44.67668749", "View Map")</f>
        <v>View Map</v>
      </c>
    </row>
    <row r="12" spans="1:7" x14ac:dyDescent="0.3">
      <c r="A12" t="s">
        <v>3970</v>
      </c>
      <c r="B12" t="s">
        <v>3971</v>
      </c>
      <c r="C12" t="s">
        <v>3948</v>
      </c>
      <c r="D12" t="s">
        <v>10</v>
      </c>
      <c r="E12">
        <v>1895</v>
      </c>
      <c r="F12" t="b">
        <v>1</v>
      </c>
      <c r="G12" t="str">
        <f>HYPERLINK("https://www.google.com/maps/search/?api=1&amp;query=25.46021294,44.37604903", "View Map")</f>
        <v>View Map</v>
      </c>
    </row>
    <row r="13" spans="1:7" x14ac:dyDescent="0.3">
      <c r="A13" t="s">
        <v>3972</v>
      </c>
      <c r="B13" t="s">
        <v>3973</v>
      </c>
      <c r="C13" t="s">
        <v>3948</v>
      </c>
      <c r="D13" t="s">
        <v>10</v>
      </c>
      <c r="E13">
        <v>1866</v>
      </c>
      <c r="F13" t="b">
        <v>1</v>
      </c>
      <c r="G13" t="str">
        <f>HYPERLINK("https://www.google.com/maps/search/?api=1&amp;query=25.18033673,44.59412089", "View Map")</f>
        <v>View Map</v>
      </c>
    </row>
    <row r="14" spans="1:7" x14ac:dyDescent="0.3">
      <c r="A14" t="s">
        <v>3974</v>
      </c>
      <c r="B14" t="s">
        <v>3975</v>
      </c>
      <c r="C14" t="s">
        <v>3948</v>
      </c>
      <c r="D14" t="s">
        <v>154</v>
      </c>
      <c r="E14">
        <v>1818</v>
      </c>
      <c r="F14" t="b">
        <v>1</v>
      </c>
      <c r="G14" t="str">
        <f>HYPERLINK("https://www.google.com/maps/search/?api=1&amp;query=24.72213032,43.79925855", "View Map")</f>
        <v>View Map</v>
      </c>
    </row>
    <row r="15" spans="1:7" x14ac:dyDescent="0.3">
      <c r="A15" t="s">
        <v>3976</v>
      </c>
      <c r="B15" t="s">
        <v>3977</v>
      </c>
      <c r="C15" t="s">
        <v>3951</v>
      </c>
      <c r="D15" t="s">
        <v>10</v>
      </c>
      <c r="E15">
        <v>1806</v>
      </c>
      <c r="F15" t="b">
        <v>1</v>
      </c>
      <c r="G15" t="str">
        <f>HYPERLINK("https://www.google.com/maps/search/?api=1&amp;query=23.76516473,44.72807497", "View Map")</f>
        <v>View Map</v>
      </c>
    </row>
    <row r="16" spans="1:7" x14ac:dyDescent="0.3">
      <c r="A16" t="s">
        <v>3978</v>
      </c>
      <c r="B16" t="s">
        <v>3979</v>
      </c>
      <c r="C16" t="s">
        <v>3948</v>
      </c>
      <c r="D16" t="s">
        <v>10</v>
      </c>
      <c r="E16">
        <v>1736</v>
      </c>
      <c r="F16" t="b">
        <v>1</v>
      </c>
      <c r="G16" t="str">
        <f>HYPERLINK("https://www.google.com/maps/search/?api=1&amp;query=24.49979615,44.38185918", "View Map")</f>
        <v>View Map</v>
      </c>
    </row>
    <row r="17" spans="1:7" x14ac:dyDescent="0.3">
      <c r="A17" t="s">
        <v>3980</v>
      </c>
      <c r="B17" t="s">
        <v>3981</v>
      </c>
      <c r="C17" t="s">
        <v>3951</v>
      </c>
      <c r="D17" t="s">
        <v>10</v>
      </c>
      <c r="E17">
        <v>1710</v>
      </c>
      <c r="F17" t="b">
        <v>1</v>
      </c>
      <c r="G17" t="str">
        <f>HYPERLINK("https://www.google.com/maps/search/?api=1&amp;query=24.07626638,45.30074534", "View Map")</f>
        <v>View Map</v>
      </c>
    </row>
    <row r="18" spans="1:7" x14ac:dyDescent="0.3">
      <c r="A18" t="s">
        <v>3982</v>
      </c>
      <c r="B18" t="s">
        <v>3983</v>
      </c>
      <c r="C18" t="s">
        <v>3951</v>
      </c>
      <c r="D18" t="s">
        <v>154</v>
      </c>
      <c r="E18">
        <v>1687</v>
      </c>
      <c r="F18" t="b">
        <v>0</v>
      </c>
      <c r="G18" t="str">
        <f>HYPERLINK("https://www.google.com/maps/search/?api=1&amp;query=23.99056126,45.15889324", "View Map")</f>
        <v>View Map</v>
      </c>
    </row>
    <row r="19" spans="1:7" x14ac:dyDescent="0.3">
      <c r="A19" t="s">
        <v>3984</v>
      </c>
      <c r="B19" t="s">
        <v>3985</v>
      </c>
      <c r="C19" t="s">
        <v>3948</v>
      </c>
      <c r="D19" t="s">
        <v>10</v>
      </c>
      <c r="E19">
        <v>1610</v>
      </c>
      <c r="F19" t="b">
        <v>1</v>
      </c>
      <c r="G19" t="str">
        <f>HYPERLINK("https://www.google.com/maps/search/?api=1&amp;query=24.50533018,44.39526609", "View Map")</f>
        <v>View Map</v>
      </c>
    </row>
    <row r="20" spans="1:7" x14ac:dyDescent="0.3">
      <c r="A20" t="s">
        <v>3986</v>
      </c>
      <c r="B20" t="s">
        <v>3987</v>
      </c>
      <c r="C20" t="s">
        <v>3951</v>
      </c>
      <c r="D20" t="s">
        <v>10</v>
      </c>
      <c r="E20">
        <v>1590</v>
      </c>
      <c r="F20" t="b">
        <v>1</v>
      </c>
      <c r="G20" t="str">
        <f>HYPERLINK("https://www.google.com/maps/search/?api=1&amp;query=24.06148414,45.27587126", "View Map")</f>
        <v>View Map</v>
      </c>
    </row>
    <row r="21" spans="1:7" x14ac:dyDescent="0.3">
      <c r="A21" t="s">
        <v>3980</v>
      </c>
      <c r="B21" t="s">
        <v>3988</v>
      </c>
      <c r="C21" t="s">
        <v>3951</v>
      </c>
      <c r="D21" t="s">
        <v>10</v>
      </c>
      <c r="E21">
        <v>1577</v>
      </c>
      <c r="F21" t="b">
        <v>1</v>
      </c>
      <c r="G21" t="str">
        <f>HYPERLINK("https://www.google.com/maps/search/?api=1&amp;query=24.08792028,45.30057911", "View Map")</f>
        <v>View Map</v>
      </c>
    </row>
    <row r="22" spans="1:7" x14ac:dyDescent="0.3">
      <c r="A22" t="s">
        <v>3989</v>
      </c>
      <c r="B22" t="s">
        <v>3990</v>
      </c>
      <c r="C22" t="s">
        <v>3991</v>
      </c>
      <c r="D22" t="s">
        <v>154</v>
      </c>
      <c r="E22">
        <v>1570</v>
      </c>
      <c r="F22" t="b">
        <v>1</v>
      </c>
      <c r="G22" t="str">
        <f>HYPERLINK("https://www.google.com/maps/search/?api=1&amp;query=24.49004984,46.17018803", "View Map")</f>
        <v>View Map</v>
      </c>
    </row>
    <row r="23" spans="1:7" x14ac:dyDescent="0.3">
      <c r="A23" t="s">
        <v>3992</v>
      </c>
      <c r="B23" t="s">
        <v>3993</v>
      </c>
      <c r="C23" t="s">
        <v>3948</v>
      </c>
      <c r="D23" t="s">
        <v>10</v>
      </c>
      <c r="E23">
        <v>1536</v>
      </c>
      <c r="F23" t="b">
        <v>1</v>
      </c>
      <c r="G23" t="str">
        <f>HYPERLINK("https://www.google.com/maps/search/?api=1&amp;query=24.5322159,44.41345395", "View Map")</f>
        <v>View Map</v>
      </c>
    </row>
    <row r="24" spans="1:7" x14ac:dyDescent="0.3">
      <c r="A24" t="s">
        <v>3994</v>
      </c>
      <c r="B24" t="s">
        <v>3995</v>
      </c>
      <c r="C24" t="s">
        <v>3951</v>
      </c>
      <c r="D24" t="s">
        <v>154</v>
      </c>
      <c r="E24">
        <v>1502</v>
      </c>
      <c r="F24" t="b">
        <v>1</v>
      </c>
      <c r="G24" t="str">
        <f>HYPERLINK("https://www.google.com/maps/search/?api=1&amp;query=24.08460266,45.32580326", "View Map")</f>
        <v>View Map</v>
      </c>
    </row>
    <row r="25" spans="1:7" x14ac:dyDescent="0.3">
      <c r="A25" t="s">
        <v>3980</v>
      </c>
      <c r="B25" t="s">
        <v>3996</v>
      </c>
      <c r="C25" t="s">
        <v>3951</v>
      </c>
      <c r="D25" t="s">
        <v>154</v>
      </c>
      <c r="E25">
        <v>1480</v>
      </c>
      <c r="F25" t="b">
        <v>1</v>
      </c>
      <c r="G25" t="str">
        <f>HYPERLINK("https://www.google.com/maps/search/?api=1&amp;query=24.08731961,45.30712424", "View Map")</f>
        <v>View Map</v>
      </c>
    </row>
    <row r="26" spans="1:7" x14ac:dyDescent="0.3">
      <c r="A26" t="s">
        <v>3997</v>
      </c>
      <c r="B26" t="s">
        <v>3998</v>
      </c>
      <c r="C26" t="s">
        <v>3948</v>
      </c>
      <c r="D26" t="s">
        <v>10</v>
      </c>
      <c r="E26">
        <v>1473</v>
      </c>
      <c r="F26" t="b">
        <v>1</v>
      </c>
      <c r="G26" t="str">
        <f>HYPERLINK("https://www.google.com/maps/search/?api=1&amp;query=24.30664571,43.72427232", "View Map")</f>
        <v>View Map</v>
      </c>
    </row>
    <row r="27" spans="1:7" x14ac:dyDescent="0.3">
      <c r="A27" t="s">
        <v>3999</v>
      </c>
      <c r="B27" t="s">
        <v>4000</v>
      </c>
      <c r="C27" t="s">
        <v>3948</v>
      </c>
      <c r="D27" t="s">
        <v>10</v>
      </c>
      <c r="E27">
        <v>1396</v>
      </c>
      <c r="F27" t="b">
        <v>0</v>
      </c>
      <c r="G27" t="str">
        <f>HYPERLINK("https://www.google.com/maps/search/?api=1&amp;query=25.38546094,44.50846931", "View Map")</f>
        <v>View Map</v>
      </c>
    </row>
    <row r="28" spans="1:7" x14ac:dyDescent="0.3">
      <c r="A28" t="s">
        <v>4001</v>
      </c>
      <c r="B28" t="s">
        <v>4002</v>
      </c>
      <c r="C28" t="s">
        <v>3948</v>
      </c>
      <c r="D28" t="s">
        <v>154</v>
      </c>
      <c r="E28">
        <v>1372</v>
      </c>
      <c r="F28" t="b">
        <v>1</v>
      </c>
      <c r="G28" t="str">
        <f>HYPERLINK("https://www.google.com/maps/search/?api=1&amp;query=24.55632729,44.42937247", "View Map")</f>
        <v>View Map</v>
      </c>
    </row>
    <row r="29" spans="1:7" x14ac:dyDescent="0.3">
      <c r="A29" t="s">
        <v>4003</v>
      </c>
      <c r="B29" t="s">
        <v>4004</v>
      </c>
      <c r="C29" t="s">
        <v>3948</v>
      </c>
      <c r="D29" t="s">
        <v>10</v>
      </c>
      <c r="E29">
        <v>1320</v>
      </c>
      <c r="F29" t="b">
        <v>1</v>
      </c>
      <c r="G29" t="str">
        <f>HYPERLINK("https://www.google.com/maps/search/?api=1&amp;query=24.65914582,43.65764723", "View Map")</f>
        <v>View Map</v>
      </c>
    </row>
    <row r="30" spans="1:7" x14ac:dyDescent="0.3">
      <c r="A30" t="s">
        <v>4005</v>
      </c>
      <c r="B30" t="s">
        <v>4006</v>
      </c>
      <c r="C30" t="s">
        <v>3948</v>
      </c>
      <c r="D30" t="s">
        <v>10</v>
      </c>
      <c r="E30">
        <v>1316</v>
      </c>
      <c r="F30" t="b">
        <v>1</v>
      </c>
      <c r="G30" t="str">
        <f>HYPERLINK("https://www.google.com/maps/search/?api=1&amp;query=23.9083372,44.6317067", "View Map")</f>
        <v>View Map</v>
      </c>
    </row>
    <row r="31" spans="1:7" x14ac:dyDescent="0.3">
      <c r="A31" t="s">
        <v>4007</v>
      </c>
      <c r="B31" t="s">
        <v>4008</v>
      </c>
      <c r="C31" t="s">
        <v>3948</v>
      </c>
      <c r="D31" t="s">
        <v>10</v>
      </c>
      <c r="E31">
        <v>1304</v>
      </c>
      <c r="F31" t="b">
        <v>0</v>
      </c>
      <c r="G31" t="str">
        <f>HYPERLINK("https://www.google.com/maps/search/?api=1&amp;query=24.53024357,44.27976637", "View Map")</f>
        <v>View Map</v>
      </c>
    </row>
    <row r="32" spans="1:7" x14ac:dyDescent="0.3">
      <c r="A32" t="s">
        <v>4009</v>
      </c>
      <c r="B32" t="s">
        <v>4010</v>
      </c>
      <c r="C32" t="s">
        <v>3948</v>
      </c>
      <c r="D32" t="s">
        <v>10</v>
      </c>
      <c r="E32">
        <v>1294</v>
      </c>
      <c r="F32" t="b">
        <v>1</v>
      </c>
      <c r="G32" t="str">
        <f>HYPERLINK("https://www.google.com/maps/search/?api=1&amp;query=24.49590651,44.36771317", "View Map")</f>
        <v>View Map</v>
      </c>
    </row>
    <row r="33" spans="1:7" x14ac:dyDescent="0.3">
      <c r="A33" t="s">
        <v>4011</v>
      </c>
      <c r="B33" t="s">
        <v>4012</v>
      </c>
      <c r="C33" t="s">
        <v>3948</v>
      </c>
      <c r="D33" t="s">
        <v>10</v>
      </c>
      <c r="E33">
        <v>1259</v>
      </c>
      <c r="F33" t="b">
        <v>0</v>
      </c>
      <c r="G33" t="str">
        <f>HYPERLINK("https://www.google.com/maps/search/?api=1&amp;query=24.46176493,44.51351203", "View Map")</f>
        <v>View Map</v>
      </c>
    </row>
    <row r="34" spans="1:7" x14ac:dyDescent="0.3">
      <c r="A34" t="s">
        <v>4013</v>
      </c>
      <c r="B34" t="s">
        <v>4014</v>
      </c>
      <c r="C34" t="s">
        <v>3948</v>
      </c>
      <c r="D34" t="s">
        <v>10</v>
      </c>
      <c r="E34">
        <v>1248</v>
      </c>
      <c r="F34" t="b">
        <v>1</v>
      </c>
      <c r="G34" t="str">
        <f>HYPERLINK("https://www.google.com/maps/search/?api=1&amp;query=24.91015823,44.72264797", "View Map")</f>
        <v>View Map</v>
      </c>
    </row>
    <row r="35" spans="1:7" x14ac:dyDescent="0.3">
      <c r="A35" t="s">
        <v>4015</v>
      </c>
      <c r="B35" t="s">
        <v>4016</v>
      </c>
      <c r="C35" t="s">
        <v>3948</v>
      </c>
      <c r="D35" t="s">
        <v>10</v>
      </c>
      <c r="E35">
        <v>1237</v>
      </c>
      <c r="F35" t="b">
        <v>1</v>
      </c>
      <c r="G35" t="str">
        <f>HYPERLINK("https://www.google.com/maps/search/?api=1&amp;query=24.87218407,43.80006349", "View Map")</f>
        <v>View Map</v>
      </c>
    </row>
    <row r="36" spans="1:7" x14ac:dyDescent="0.3">
      <c r="A36" t="s">
        <v>4017</v>
      </c>
      <c r="B36" t="s">
        <v>4018</v>
      </c>
      <c r="C36" t="s">
        <v>3948</v>
      </c>
      <c r="D36" t="s">
        <v>10</v>
      </c>
      <c r="E36">
        <v>1226</v>
      </c>
      <c r="F36" t="b">
        <v>1</v>
      </c>
      <c r="G36" t="str">
        <f>HYPERLINK("https://www.google.com/maps/search/?api=1&amp;query=25.14664767,44.64067248", "View Map")</f>
        <v>View Map</v>
      </c>
    </row>
    <row r="37" spans="1:7" x14ac:dyDescent="0.3">
      <c r="A37" t="s">
        <v>1211</v>
      </c>
      <c r="B37" t="s">
        <v>4019</v>
      </c>
      <c r="C37" t="s">
        <v>3948</v>
      </c>
      <c r="D37" t="s">
        <v>10</v>
      </c>
      <c r="E37">
        <v>1214</v>
      </c>
      <c r="F37" t="b">
        <v>1</v>
      </c>
      <c r="G37" t="str">
        <f>HYPERLINK("https://www.google.com/maps/search/?api=1&amp;query=25.16744988,44.60545464", "View Map")</f>
        <v>View Map</v>
      </c>
    </row>
    <row r="38" spans="1:7" x14ac:dyDescent="0.3">
      <c r="A38" t="s">
        <v>4020</v>
      </c>
      <c r="B38" t="s">
        <v>4021</v>
      </c>
      <c r="C38" t="s">
        <v>3948</v>
      </c>
      <c r="D38" t="s">
        <v>10</v>
      </c>
      <c r="E38">
        <v>1156</v>
      </c>
      <c r="F38" t="b">
        <v>1</v>
      </c>
      <c r="G38" t="str">
        <f>HYPERLINK("https://www.google.com/maps/search/?api=1&amp;query=24.52674395,44.40113878", "View Map")</f>
        <v>View Map</v>
      </c>
    </row>
    <row r="39" spans="1:7" x14ac:dyDescent="0.3">
      <c r="A39" t="s">
        <v>4022</v>
      </c>
      <c r="B39" t="s">
        <v>4023</v>
      </c>
      <c r="C39" t="s">
        <v>3948</v>
      </c>
      <c r="D39" t="s">
        <v>10</v>
      </c>
      <c r="E39">
        <v>1150</v>
      </c>
      <c r="F39" t="b">
        <v>1</v>
      </c>
      <c r="G39" t="str">
        <f>HYPERLINK("https://www.google.com/maps/search/?api=1&amp;query=25.17930951,44.60393932", "View Map")</f>
        <v>View Map</v>
      </c>
    </row>
    <row r="40" spans="1:7" x14ac:dyDescent="0.3">
      <c r="A40" t="s">
        <v>4024</v>
      </c>
      <c r="B40" t="s">
        <v>4025</v>
      </c>
      <c r="C40" t="s">
        <v>3948</v>
      </c>
      <c r="D40" t="s">
        <v>10</v>
      </c>
      <c r="E40">
        <v>1144</v>
      </c>
      <c r="F40" t="b">
        <v>0</v>
      </c>
      <c r="G40" t="str">
        <f>HYPERLINK("https://www.google.com/maps/search/?api=1&amp;query=25.17573809,44.60545822", "View Map")</f>
        <v>View Map</v>
      </c>
    </row>
    <row r="41" spans="1:7" x14ac:dyDescent="0.3">
      <c r="A41" t="s">
        <v>4026</v>
      </c>
      <c r="B41" t="s">
        <v>4027</v>
      </c>
      <c r="C41" t="s">
        <v>3948</v>
      </c>
      <c r="D41" t="s">
        <v>10</v>
      </c>
      <c r="E41">
        <v>1136</v>
      </c>
      <c r="F41" t="b">
        <v>1</v>
      </c>
      <c r="G41" t="str">
        <f>HYPERLINK("https://www.google.com/maps/search/?api=1&amp;query=25.20253973,44.59991507", "View Map")</f>
        <v>View Map</v>
      </c>
    </row>
    <row r="42" spans="1:7" x14ac:dyDescent="0.3">
      <c r="A42" t="s">
        <v>4028</v>
      </c>
      <c r="B42" t="s">
        <v>4029</v>
      </c>
      <c r="C42" t="s">
        <v>3948</v>
      </c>
      <c r="D42" t="s">
        <v>10</v>
      </c>
      <c r="E42">
        <v>1128</v>
      </c>
      <c r="F42" t="b">
        <v>1</v>
      </c>
      <c r="G42" t="str">
        <f>HYPERLINK("https://www.google.com/maps/search/?api=1&amp;query=24.68233726,44.95639094", "View Map")</f>
        <v>View Map</v>
      </c>
    </row>
    <row r="43" spans="1:7" x14ac:dyDescent="0.3">
      <c r="A43" t="s">
        <v>4030</v>
      </c>
      <c r="B43" t="s">
        <v>4031</v>
      </c>
      <c r="C43" t="s">
        <v>3951</v>
      </c>
      <c r="D43" t="s">
        <v>10</v>
      </c>
      <c r="E43">
        <v>1111</v>
      </c>
      <c r="F43" t="b">
        <v>1</v>
      </c>
      <c r="G43" t="str">
        <f>HYPERLINK("https://www.google.com/maps/search/?api=1&amp;query=23.77546139,44.7838122", "View Map")</f>
        <v>View Map</v>
      </c>
    </row>
    <row r="44" spans="1:7" x14ac:dyDescent="0.3">
      <c r="A44" t="s">
        <v>4032</v>
      </c>
      <c r="B44" t="s">
        <v>4033</v>
      </c>
      <c r="C44" t="s">
        <v>3948</v>
      </c>
      <c r="D44" t="s">
        <v>10</v>
      </c>
      <c r="E44">
        <v>1103</v>
      </c>
      <c r="F44" t="b">
        <v>1</v>
      </c>
      <c r="G44" t="str">
        <f>HYPERLINK("https://www.google.com/maps/search/?api=1&amp;query=24.58888554,43.68600837", "View Map")</f>
        <v>View Map</v>
      </c>
    </row>
    <row r="45" spans="1:7" x14ac:dyDescent="0.3">
      <c r="A45" t="s">
        <v>4034</v>
      </c>
      <c r="B45" t="s">
        <v>4035</v>
      </c>
      <c r="C45" t="s">
        <v>3961</v>
      </c>
      <c r="D45" t="s">
        <v>10</v>
      </c>
      <c r="E45">
        <v>1097</v>
      </c>
      <c r="F45" t="b">
        <v>0</v>
      </c>
      <c r="G45" t="str">
        <f>HYPERLINK("https://www.google.com/maps/search/?api=1&amp;query=24.34108418,41.89530394", "View Map")</f>
        <v>View Map</v>
      </c>
    </row>
    <row r="46" spans="1:7" x14ac:dyDescent="0.3">
      <c r="A46" t="s">
        <v>4036</v>
      </c>
      <c r="B46" t="s">
        <v>4037</v>
      </c>
      <c r="C46" t="s">
        <v>3948</v>
      </c>
      <c r="D46" t="s">
        <v>10</v>
      </c>
      <c r="E46">
        <v>1095</v>
      </c>
      <c r="F46" t="b">
        <v>0</v>
      </c>
      <c r="G46" t="str">
        <f>HYPERLINK("https://www.google.com/maps/search/?api=1&amp;query=25.0162557,43.820377", "View Map")</f>
        <v>View Map</v>
      </c>
    </row>
    <row r="47" spans="1:7" x14ac:dyDescent="0.3">
      <c r="A47" t="s">
        <v>4038</v>
      </c>
      <c r="B47" t="s">
        <v>4039</v>
      </c>
      <c r="C47" t="s">
        <v>3948</v>
      </c>
      <c r="D47" t="s">
        <v>154</v>
      </c>
      <c r="E47">
        <v>1089</v>
      </c>
      <c r="F47" t="b">
        <v>1</v>
      </c>
      <c r="G47" t="str">
        <f>HYPERLINK("https://www.google.com/maps/search/?api=1&amp;query=24.54456886,44.43271592", "View Map")</f>
        <v>View Map</v>
      </c>
    </row>
    <row r="48" spans="1:7" x14ac:dyDescent="0.3">
      <c r="A48" t="s">
        <v>4040</v>
      </c>
      <c r="B48" t="s">
        <v>4041</v>
      </c>
      <c r="C48" t="s">
        <v>3948</v>
      </c>
      <c r="D48" t="s">
        <v>10</v>
      </c>
      <c r="E48">
        <v>1088</v>
      </c>
      <c r="F48" t="b">
        <v>0</v>
      </c>
      <c r="G48" t="str">
        <f>HYPERLINK("https://www.google.com/maps/search/?api=1&amp;query=24.5348371,44.27351676", "View Map")</f>
        <v>View Map</v>
      </c>
    </row>
    <row r="49" spans="1:7" x14ac:dyDescent="0.3">
      <c r="A49" t="s">
        <v>4042</v>
      </c>
      <c r="B49" t="s">
        <v>4043</v>
      </c>
      <c r="C49" t="s">
        <v>3948</v>
      </c>
      <c r="D49" t="s">
        <v>10</v>
      </c>
      <c r="E49">
        <v>1081</v>
      </c>
      <c r="F49" t="b">
        <v>0</v>
      </c>
      <c r="G49" t="str">
        <f>HYPERLINK("https://www.google.com/maps/search/?api=1&amp;query=25.45096778,44.42772427", "View Map")</f>
        <v>View Map</v>
      </c>
    </row>
    <row r="50" spans="1:7" x14ac:dyDescent="0.3">
      <c r="A50" t="s">
        <v>4044</v>
      </c>
      <c r="B50" t="s">
        <v>4045</v>
      </c>
      <c r="C50" t="s">
        <v>3948</v>
      </c>
      <c r="D50" t="s">
        <v>10</v>
      </c>
      <c r="E50">
        <v>1016</v>
      </c>
      <c r="F50" t="b">
        <v>0</v>
      </c>
      <c r="G50" t="str">
        <f>HYPERLINK("https://www.google.com/maps/search/?api=1&amp;query=25.33652116,44.46278233", "View Map")</f>
        <v>View Map</v>
      </c>
    </row>
    <row r="51" spans="1:7" x14ac:dyDescent="0.3">
      <c r="A51" t="s">
        <v>4046</v>
      </c>
      <c r="B51" t="s">
        <v>4047</v>
      </c>
      <c r="C51" t="s">
        <v>3954</v>
      </c>
      <c r="D51" t="s">
        <v>10</v>
      </c>
      <c r="E51">
        <v>1006</v>
      </c>
      <c r="F51" t="b">
        <v>1</v>
      </c>
      <c r="G51" t="str">
        <f>HYPERLINK("https://www.google.com/maps/search/?api=1&amp;query=23.57204329,45.57354863", "View Map")</f>
        <v>View Map</v>
      </c>
    </row>
    <row r="52" spans="1:7" x14ac:dyDescent="0.3">
      <c r="A52" t="s">
        <v>4048</v>
      </c>
      <c r="B52" t="s">
        <v>4049</v>
      </c>
      <c r="C52" t="s">
        <v>3948</v>
      </c>
      <c r="D52" t="s">
        <v>10</v>
      </c>
      <c r="E52">
        <v>998</v>
      </c>
      <c r="F52" t="b">
        <v>1</v>
      </c>
      <c r="G52" t="str">
        <f>HYPERLINK("https://www.google.com/maps/search/?api=1&amp;query=24.53208793,44.41648194", "View Map")</f>
        <v>View Map</v>
      </c>
    </row>
    <row r="53" spans="1:7" x14ac:dyDescent="0.3">
      <c r="A53" t="s">
        <v>4050</v>
      </c>
      <c r="B53" t="s">
        <v>4051</v>
      </c>
      <c r="C53" t="s">
        <v>3948</v>
      </c>
      <c r="D53" t="s">
        <v>10</v>
      </c>
      <c r="E53">
        <v>980</v>
      </c>
      <c r="F53" t="b">
        <v>0</v>
      </c>
      <c r="G53" t="str">
        <f>HYPERLINK("https://www.google.com/maps/search/?api=1&amp;query=24.35622798,44.50191406", "View Map")</f>
        <v>View Map</v>
      </c>
    </row>
    <row r="54" spans="1:7" x14ac:dyDescent="0.3">
      <c r="A54" t="s">
        <v>4052</v>
      </c>
      <c r="B54" t="s">
        <v>4053</v>
      </c>
      <c r="C54" t="s">
        <v>3948</v>
      </c>
      <c r="D54" t="s">
        <v>10</v>
      </c>
      <c r="E54">
        <v>976</v>
      </c>
      <c r="F54" t="b">
        <v>1</v>
      </c>
      <c r="G54" t="str">
        <f>HYPERLINK("https://www.google.com/maps/search/?api=1&amp;query=24.52132293,44.4159675", "View Map")</f>
        <v>View Map</v>
      </c>
    </row>
    <row r="55" spans="1:7" x14ac:dyDescent="0.3">
      <c r="A55" t="s">
        <v>4054</v>
      </c>
      <c r="B55" t="s">
        <v>4055</v>
      </c>
      <c r="C55" t="s">
        <v>3948</v>
      </c>
      <c r="D55" t="s">
        <v>154</v>
      </c>
      <c r="E55">
        <v>966</v>
      </c>
      <c r="F55" t="b">
        <v>0</v>
      </c>
      <c r="G55" t="str">
        <f>HYPERLINK("https://www.google.com/maps/search/?api=1&amp;query=24.53956506,44.27508693", "View Map")</f>
        <v>View Map</v>
      </c>
    </row>
    <row r="56" spans="1:7" x14ac:dyDescent="0.3">
      <c r="A56" t="s">
        <v>4056</v>
      </c>
      <c r="B56" t="s">
        <v>4057</v>
      </c>
      <c r="C56" t="s">
        <v>3948</v>
      </c>
      <c r="D56" t="s">
        <v>10</v>
      </c>
      <c r="E56">
        <v>957</v>
      </c>
      <c r="F56" t="b">
        <v>0</v>
      </c>
      <c r="G56" t="str">
        <f>HYPERLINK("https://www.google.com/maps/search/?api=1&amp;query=25.0225757,43.81810821", "View Map")</f>
        <v>View Map</v>
      </c>
    </row>
    <row r="57" spans="1:7" x14ac:dyDescent="0.3">
      <c r="A57" t="s">
        <v>1428</v>
      </c>
      <c r="B57" t="s">
        <v>4058</v>
      </c>
      <c r="C57" t="s">
        <v>3948</v>
      </c>
      <c r="D57" t="s">
        <v>10</v>
      </c>
      <c r="E57">
        <v>956</v>
      </c>
      <c r="F57" t="b">
        <v>1</v>
      </c>
      <c r="G57" t="str">
        <f>HYPERLINK("https://www.google.com/maps/search/?api=1&amp;query=25.18699055,44.58080549", "View Map")</f>
        <v>View Map</v>
      </c>
    </row>
    <row r="58" spans="1:7" x14ac:dyDescent="0.3">
      <c r="A58" t="s">
        <v>4059</v>
      </c>
      <c r="B58" t="s">
        <v>4060</v>
      </c>
      <c r="C58" t="s">
        <v>3991</v>
      </c>
      <c r="D58" t="s">
        <v>10</v>
      </c>
      <c r="E58">
        <v>954</v>
      </c>
      <c r="F58" t="b">
        <v>0</v>
      </c>
      <c r="G58" t="str">
        <f>HYPERLINK("https://www.google.com/maps/search/?api=1&amp;query=24.59953412,46.13554161", "View Map")</f>
        <v>View Map</v>
      </c>
    </row>
    <row r="59" spans="1:7" x14ac:dyDescent="0.3">
      <c r="A59" t="s">
        <v>4061</v>
      </c>
      <c r="B59" t="s">
        <v>4062</v>
      </c>
      <c r="C59" t="s">
        <v>3948</v>
      </c>
      <c r="D59" t="s">
        <v>10</v>
      </c>
      <c r="E59">
        <v>947</v>
      </c>
      <c r="F59" t="b">
        <v>1</v>
      </c>
      <c r="G59" t="str">
        <f>HYPERLINK("https://www.google.com/maps/search/?api=1&amp;query=24.49792005,44.36773392", "View Map")</f>
        <v>View Map</v>
      </c>
    </row>
    <row r="60" spans="1:7" x14ac:dyDescent="0.3">
      <c r="A60" t="s">
        <v>4063</v>
      </c>
      <c r="B60" t="s">
        <v>4064</v>
      </c>
      <c r="C60" t="s">
        <v>3948</v>
      </c>
      <c r="D60" t="s">
        <v>10</v>
      </c>
      <c r="E60">
        <v>941</v>
      </c>
      <c r="F60" t="b">
        <v>0</v>
      </c>
      <c r="G60" t="str">
        <f>HYPERLINK("https://www.google.com/maps/search/?api=1&amp;query=24.73269898,43.79220649", "View Map")</f>
        <v>View Map</v>
      </c>
    </row>
    <row r="61" spans="1:7" x14ac:dyDescent="0.3">
      <c r="A61" t="s">
        <v>4065</v>
      </c>
      <c r="B61" t="s">
        <v>4066</v>
      </c>
      <c r="C61" t="s">
        <v>3948</v>
      </c>
      <c r="D61" t="s">
        <v>10</v>
      </c>
      <c r="E61">
        <v>932</v>
      </c>
      <c r="F61" t="b">
        <v>1</v>
      </c>
      <c r="G61" t="str">
        <f>HYPERLINK("https://www.google.com/maps/search/?api=1&amp;query=25.33984738,44.51033243", "View Map")</f>
        <v>View Map</v>
      </c>
    </row>
    <row r="62" spans="1:7" x14ac:dyDescent="0.3">
      <c r="A62" t="s">
        <v>4067</v>
      </c>
      <c r="B62" t="s">
        <v>4068</v>
      </c>
      <c r="C62" t="s">
        <v>3948</v>
      </c>
      <c r="D62" t="s">
        <v>10</v>
      </c>
      <c r="E62">
        <v>931</v>
      </c>
      <c r="F62" t="b">
        <v>0</v>
      </c>
      <c r="G62" t="str">
        <f>HYPERLINK("https://www.google.com/maps/search/?api=1&amp;query=25.18503494,44.50841073", "View Map")</f>
        <v>View Map</v>
      </c>
    </row>
    <row r="63" spans="1:7" x14ac:dyDescent="0.3">
      <c r="A63" t="s">
        <v>4069</v>
      </c>
      <c r="B63" t="s">
        <v>4070</v>
      </c>
      <c r="C63" t="s">
        <v>3948</v>
      </c>
      <c r="D63" t="s">
        <v>10</v>
      </c>
      <c r="E63">
        <v>927</v>
      </c>
      <c r="F63" t="b">
        <v>1</v>
      </c>
      <c r="G63" t="str">
        <f>HYPERLINK("https://www.google.com/maps/search/?api=1&amp;query=25.1701483,44.22521572", "View Map")</f>
        <v>View Map</v>
      </c>
    </row>
    <row r="64" spans="1:7" x14ac:dyDescent="0.3">
      <c r="A64" t="s">
        <v>4071</v>
      </c>
      <c r="B64" t="s">
        <v>4072</v>
      </c>
      <c r="C64" t="s">
        <v>3948</v>
      </c>
      <c r="D64" t="s">
        <v>154</v>
      </c>
      <c r="E64">
        <v>917</v>
      </c>
      <c r="F64" t="b">
        <v>1</v>
      </c>
      <c r="G64" t="str">
        <f>HYPERLINK("https://www.google.com/maps/search/?api=1&amp;query=24.29512638,43.73824623", "View Map")</f>
        <v>View Map</v>
      </c>
    </row>
    <row r="65" spans="1:7" x14ac:dyDescent="0.3">
      <c r="A65" t="s">
        <v>3970</v>
      </c>
      <c r="B65" t="s">
        <v>4073</v>
      </c>
      <c r="C65" t="s">
        <v>3948</v>
      </c>
      <c r="D65" t="s">
        <v>10</v>
      </c>
      <c r="E65">
        <v>904</v>
      </c>
      <c r="F65" t="b">
        <v>1</v>
      </c>
      <c r="G65" t="str">
        <f>HYPERLINK("https://www.google.com/maps/search/?api=1&amp;query=24.55480113,44.45257969", "View Map")</f>
        <v>View Map</v>
      </c>
    </row>
    <row r="66" spans="1:7" x14ac:dyDescent="0.3">
      <c r="A66" t="s">
        <v>4074</v>
      </c>
      <c r="B66" t="s">
        <v>4075</v>
      </c>
      <c r="C66" t="s">
        <v>3948</v>
      </c>
      <c r="D66" t="s">
        <v>154</v>
      </c>
      <c r="E66">
        <v>897</v>
      </c>
      <c r="F66" t="b">
        <v>1</v>
      </c>
      <c r="G66" t="str">
        <f>HYPERLINK("https://www.google.com/maps/search/?api=1&amp;query=25.20257864,44.59703068", "View Map")</f>
        <v>View Map</v>
      </c>
    </row>
    <row r="67" spans="1:7" x14ac:dyDescent="0.3">
      <c r="A67" t="s">
        <v>3980</v>
      </c>
      <c r="B67" t="s">
        <v>4076</v>
      </c>
      <c r="C67" t="s">
        <v>3951</v>
      </c>
      <c r="D67" t="s">
        <v>10</v>
      </c>
      <c r="E67">
        <v>889</v>
      </c>
      <c r="F67" t="b">
        <v>1</v>
      </c>
      <c r="G67" t="str">
        <f>HYPERLINK("https://www.google.com/maps/search/?api=1&amp;query=24.07626638,45.30074534", "View Map")</f>
        <v>View Map</v>
      </c>
    </row>
    <row r="68" spans="1:7" x14ac:dyDescent="0.3">
      <c r="A68" t="s">
        <v>4077</v>
      </c>
      <c r="B68" t="s">
        <v>4078</v>
      </c>
      <c r="C68" t="s">
        <v>3948</v>
      </c>
      <c r="D68" t="s">
        <v>10</v>
      </c>
      <c r="E68">
        <v>872</v>
      </c>
      <c r="F68" t="b">
        <v>1</v>
      </c>
      <c r="G68" t="str">
        <f>HYPERLINK("https://www.google.com/maps/search/?api=1&amp;query=24.50703751,44.39278844", "View Map")</f>
        <v>View Map</v>
      </c>
    </row>
    <row r="69" spans="1:7" x14ac:dyDescent="0.3">
      <c r="A69" t="s">
        <v>4079</v>
      </c>
      <c r="B69" t="s">
        <v>4080</v>
      </c>
      <c r="C69" t="s">
        <v>3948</v>
      </c>
      <c r="D69" t="s">
        <v>154</v>
      </c>
      <c r="E69">
        <v>871</v>
      </c>
      <c r="F69" t="b">
        <v>1</v>
      </c>
      <c r="G69" t="str">
        <f>HYPERLINK("https://www.google.com/maps/search/?api=1&amp;query=25.19333282,44.59811952", "View Map")</f>
        <v>View Map</v>
      </c>
    </row>
    <row r="70" spans="1:7" x14ac:dyDescent="0.3">
      <c r="A70" t="s">
        <v>4081</v>
      </c>
      <c r="B70" t="s">
        <v>4082</v>
      </c>
      <c r="C70" t="s">
        <v>3948</v>
      </c>
      <c r="D70" t="s">
        <v>154</v>
      </c>
      <c r="E70">
        <v>867</v>
      </c>
      <c r="F70" t="b">
        <v>0</v>
      </c>
      <c r="G70" t="str">
        <f>HYPERLINK("https://www.google.com/maps/search/?api=1&amp;query=24.27743723,44.1858356", "View Map")</f>
        <v>View Map</v>
      </c>
    </row>
    <row r="71" spans="1:7" x14ac:dyDescent="0.3">
      <c r="A71" t="s">
        <v>4083</v>
      </c>
      <c r="B71" t="s">
        <v>4084</v>
      </c>
      <c r="C71" t="s">
        <v>3954</v>
      </c>
      <c r="D71" t="s">
        <v>10</v>
      </c>
      <c r="E71">
        <v>861</v>
      </c>
      <c r="F71" t="b">
        <v>1</v>
      </c>
      <c r="G71" t="str">
        <f>HYPERLINK("https://www.google.com/maps/search/?api=1&amp;query=23.54262176,45.5144862", "View Map")</f>
        <v>View Map</v>
      </c>
    </row>
    <row r="72" spans="1:7" x14ac:dyDescent="0.3">
      <c r="A72" t="s">
        <v>4085</v>
      </c>
      <c r="B72" t="s">
        <v>4086</v>
      </c>
      <c r="C72" t="s">
        <v>3951</v>
      </c>
      <c r="D72" t="s">
        <v>10</v>
      </c>
      <c r="E72">
        <v>855</v>
      </c>
      <c r="F72" t="b">
        <v>0</v>
      </c>
      <c r="G72" t="str">
        <f>HYPERLINK("https://www.google.com/maps/search/?api=1&amp;query=24.31393185,45.85156619", "View Map")</f>
        <v>View Map</v>
      </c>
    </row>
    <row r="73" spans="1:7" x14ac:dyDescent="0.3">
      <c r="A73" t="s">
        <v>4087</v>
      </c>
      <c r="B73" t="s">
        <v>4088</v>
      </c>
      <c r="C73" t="s">
        <v>3948</v>
      </c>
      <c r="D73" t="s">
        <v>10</v>
      </c>
      <c r="E73">
        <v>854</v>
      </c>
      <c r="F73" t="b">
        <v>1</v>
      </c>
      <c r="G73" t="str">
        <f>HYPERLINK("https://www.google.com/maps/search/?api=1&amp;query=25.18606944,44.59945533", "View Map")</f>
        <v>View Map</v>
      </c>
    </row>
    <row r="74" spans="1:7" x14ac:dyDescent="0.3">
      <c r="A74" t="s">
        <v>4089</v>
      </c>
      <c r="B74" t="s">
        <v>4090</v>
      </c>
      <c r="C74" t="s">
        <v>4091</v>
      </c>
      <c r="D74" t="s">
        <v>10</v>
      </c>
      <c r="E74">
        <v>853</v>
      </c>
      <c r="F74" t="b">
        <v>1</v>
      </c>
      <c r="G74" t="str">
        <f>HYPERLINK("https://www.google.com/maps/search/?api=1&amp;query=24.45073409,46.30022976", "View Map")</f>
        <v>View Map</v>
      </c>
    </row>
    <row r="75" spans="1:7" x14ac:dyDescent="0.3">
      <c r="A75" t="s">
        <v>4092</v>
      </c>
      <c r="B75" t="s">
        <v>4093</v>
      </c>
      <c r="C75" t="s">
        <v>3951</v>
      </c>
      <c r="D75" t="s">
        <v>154</v>
      </c>
      <c r="E75">
        <v>843</v>
      </c>
      <c r="F75" t="b">
        <v>1</v>
      </c>
      <c r="G75" t="str">
        <f>HYPERLINK("https://www.google.com/maps/search/?api=1&amp;query=24.34412284,45.81146383", "View Map")</f>
        <v>View Map</v>
      </c>
    </row>
    <row r="76" spans="1:7" x14ac:dyDescent="0.3">
      <c r="A76" t="s">
        <v>4094</v>
      </c>
      <c r="B76" t="s">
        <v>4095</v>
      </c>
      <c r="C76" t="s">
        <v>3948</v>
      </c>
      <c r="D76" t="s">
        <v>10</v>
      </c>
      <c r="E76">
        <v>836</v>
      </c>
      <c r="F76" t="b">
        <v>0</v>
      </c>
      <c r="G76" t="str">
        <f>HYPERLINK("https://www.google.com/maps/search/?api=1&amp;query=24.98558652,44.7264751", "View Map")</f>
        <v>View Map</v>
      </c>
    </row>
    <row r="77" spans="1:7" x14ac:dyDescent="0.3">
      <c r="A77" t="s">
        <v>4096</v>
      </c>
      <c r="B77" t="s">
        <v>4097</v>
      </c>
      <c r="C77" t="s">
        <v>3948</v>
      </c>
      <c r="D77" t="s">
        <v>154</v>
      </c>
      <c r="E77">
        <v>833</v>
      </c>
      <c r="F77" t="b">
        <v>1</v>
      </c>
      <c r="G77" t="str">
        <f>HYPERLINK("https://www.google.com/maps/search/?api=1&amp;query=25.18203577,44.59809175", "View Map")</f>
        <v>View Map</v>
      </c>
    </row>
    <row r="78" spans="1:7" x14ac:dyDescent="0.3">
      <c r="A78" t="s">
        <v>4098</v>
      </c>
      <c r="B78" t="s">
        <v>4099</v>
      </c>
      <c r="C78" t="s">
        <v>3948</v>
      </c>
      <c r="D78" t="s">
        <v>154</v>
      </c>
      <c r="E78">
        <v>829</v>
      </c>
      <c r="F78" t="b">
        <v>0</v>
      </c>
      <c r="G78" t="str">
        <f>HYPERLINK("https://www.google.com/maps/search/?api=1&amp;query=24.53747066,44.28072409", "View Map")</f>
        <v>View Map</v>
      </c>
    </row>
    <row r="79" spans="1:7" x14ac:dyDescent="0.3">
      <c r="A79" t="s">
        <v>4100</v>
      </c>
      <c r="B79" t="s">
        <v>4101</v>
      </c>
      <c r="C79" t="s">
        <v>4102</v>
      </c>
      <c r="D79" t="s">
        <v>10</v>
      </c>
      <c r="E79">
        <v>829</v>
      </c>
      <c r="F79" t="b">
        <v>0</v>
      </c>
      <c r="G79" t="str">
        <f>HYPERLINK("https://www.google.com/maps/search/?api=1&amp;query=23.91686527,42.92406133", "View Map")</f>
        <v>View Map</v>
      </c>
    </row>
    <row r="80" spans="1:7" x14ac:dyDescent="0.3">
      <c r="A80" t="s">
        <v>3970</v>
      </c>
      <c r="B80" t="s">
        <v>4103</v>
      </c>
      <c r="C80" t="s">
        <v>3948</v>
      </c>
      <c r="D80" t="s">
        <v>10</v>
      </c>
      <c r="E80">
        <v>826</v>
      </c>
      <c r="F80" t="b">
        <v>1</v>
      </c>
      <c r="G80" t="str">
        <f>HYPERLINK("https://www.google.com/maps/search/?api=1&amp;query=24.53293944,44.40189975", "View Map")</f>
        <v>View Map</v>
      </c>
    </row>
    <row r="81" spans="1:7" x14ac:dyDescent="0.3">
      <c r="A81" t="s">
        <v>4104</v>
      </c>
      <c r="B81" t="s">
        <v>4105</v>
      </c>
      <c r="C81" t="s">
        <v>3948</v>
      </c>
      <c r="D81" t="s">
        <v>10</v>
      </c>
      <c r="E81">
        <v>820</v>
      </c>
      <c r="F81" t="b">
        <v>1</v>
      </c>
      <c r="G81" t="str">
        <f>HYPERLINK("https://www.google.com/maps/search/?api=1&amp;query=24.39852132,44.89825764", "View Map")</f>
        <v>View Map</v>
      </c>
    </row>
    <row r="82" spans="1:7" x14ac:dyDescent="0.3">
      <c r="A82" t="s">
        <v>4106</v>
      </c>
      <c r="B82" t="s">
        <v>4107</v>
      </c>
      <c r="C82" t="s">
        <v>4102</v>
      </c>
      <c r="D82" t="s">
        <v>10</v>
      </c>
      <c r="E82">
        <v>819</v>
      </c>
      <c r="F82" t="b">
        <v>0</v>
      </c>
      <c r="G82" t="str">
        <f>HYPERLINK("https://www.google.com/maps/search/?api=1&amp;query=23.87838412,42.91211277", "View Map")</f>
        <v>View Map</v>
      </c>
    </row>
    <row r="83" spans="1:7" x14ac:dyDescent="0.3">
      <c r="A83" t="s">
        <v>4108</v>
      </c>
      <c r="B83" t="s">
        <v>4109</v>
      </c>
      <c r="C83" t="s">
        <v>4102</v>
      </c>
      <c r="D83" t="s">
        <v>154</v>
      </c>
      <c r="E83">
        <v>798</v>
      </c>
      <c r="F83" t="b">
        <v>1</v>
      </c>
      <c r="G83" t="str">
        <f>HYPERLINK("https://www.google.com/maps/search/?api=1&amp;query=23.90203359,42.90467772", "View Map")</f>
        <v>View Map</v>
      </c>
    </row>
    <row r="84" spans="1:7" x14ac:dyDescent="0.3">
      <c r="A84" t="s">
        <v>4110</v>
      </c>
      <c r="B84" t="s">
        <v>4111</v>
      </c>
      <c r="C84" t="s">
        <v>3948</v>
      </c>
      <c r="D84" t="s">
        <v>10</v>
      </c>
      <c r="E84">
        <v>796</v>
      </c>
      <c r="F84" t="b">
        <v>1</v>
      </c>
      <c r="G84" t="str">
        <f>HYPERLINK("https://www.google.com/maps/search/?api=1&amp;query=25.16692583,44.58236343", "View Map")</f>
        <v>View Map</v>
      </c>
    </row>
    <row r="85" spans="1:7" x14ac:dyDescent="0.3">
      <c r="A85" t="s">
        <v>4112</v>
      </c>
      <c r="B85" t="s">
        <v>4113</v>
      </c>
      <c r="C85" t="s">
        <v>3948</v>
      </c>
      <c r="D85" t="s">
        <v>10</v>
      </c>
      <c r="E85">
        <v>796</v>
      </c>
      <c r="F85" t="b">
        <v>1</v>
      </c>
      <c r="G85" t="str">
        <f>HYPERLINK("https://www.google.com/maps/search/?api=1&amp;query=25.45599881,44.39350676", "View Map")</f>
        <v>View Map</v>
      </c>
    </row>
    <row r="86" spans="1:7" x14ac:dyDescent="0.3">
      <c r="A86" t="s">
        <v>4114</v>
      </c>
      <c r="B86" t="s">
        <v>4115</v>
      </c>
      <c r="C86" t="s">
        <v>3948</v>
      </c>
      <c r="D86" t="s">
        <v>10</v>
      </c>
      <c r="E86">
        <v>790</v>
      </c>
      <c r="F86" t="b">
        <v>0</v>
      </c>
      <c r="G86" t="str">
        <f>HYPERLINK("https://www.google.com/maps/search/?api=1&amp;query=25.33200267,44.46680135", "View Map")</f>
        <v>View Map</v>
      </c>
    </row>
    <row r="87" spans="1:7" x14ac:dyDescent="0.3">
      <c r="A87" t="s">
        <v>4096</v>
      </c>
      <c r="B87" t="s">
        <v>4116</v>
      </c>
      <c r="C87" t="s">
        <v>3948</v>
      </c>
      <c r="D87" t="s">
        <v>10</v>
      </c>
      <c r="E87">
        <v>790</v>
      </c>
      <c r="F87" t="b">
        <v>1</v>
      </c>
      <c r="G87" t="str">
        <f>HYPERLINK("https://www.google.com/maps/search/?api=1&amp;query=25.20932453,44.59794706", "View Map")</f>
        <v>View Map</v>
      </c>
    </row>
    <row r="88" spans="1:7" x14ac:dyDescent="0.3">
      <c r="A88" t="s">
        <v>4117</v>
      </c>
      <c r="B88" t="s">
        <v>4118</v>
      </c>
      <c r="C88" t="s">
        <v>3991</v>
      </c>
      <c r="D88" t="s">
        <v>154</v>
      </c>
      <c r="E88">
        <v>777</v>
      </c>
      <c r="F88" t="b">
        <v>1</v>
      </c>
      <c r="G88" t="str">
        <f>HYPERLINK("https://www.google.com/maps/search/?api=1&amp;query=24.49430456,46.15889781", "View Map")</f>
        <v>View Map</v>
      </c>
    </row>
    <row r="89" spans="1:7" x14ac:dyDescent="0.3">
      <c r="A89" t="s">
        <v>4119</v>
      </c>
      <c r="B89" t="s">
        <v>4120</v>
      </c>
      <c r="C89" t="s">
        <v>3954</v>
      </c>
      <c r="D89" t="s">
        <v>154</v>
      </c>
      <c r="E89">
        <v>776</v>
      </c>
      <c r="F89" t="b">
        <v>1</v>
      </c>
      <c r="G89" t="str">
        <f>HYPERLINK("https://www.google.com/maps/search/?api=1&amp;query=23.61764317,45.40762776", "View Map")</f>
        <v>View Map</v>
      </c>
    </row>
    <row r="90" spans="1:7" x14ac:dyDescent="0.3">
      <c r="A90" t="s">
        <v>4121</v>
      </c>
      <c r="B90" t="s">
        <v>4122</v>
      </c>
      <c r="C90" t="s">
        <v>3951</v>
      </c>
      <c r="D90" t="s">
        <v>10</v>
      </c>
      <c r="E90">
        <v>773</v>
      </c>
      <c r="F90" t="b">
        <v>0</v>
      </c>
      <c r="G90" t="str">
        <f>HYPERLINK("https://www.google.com/maps/search/?api=1&amp;query=23.99056126,45.15889324", "View Map")</f>
        <v>View Map</v>
      </c>
    </row>
    <row r="91" spans="1:7" x14ac:dyDescent="0.3">
      <c r="A91" t="s">
        <v>4123</v>
      </c>
      <c r="B91" t="s">
        <v>4124</v>
      </c>
      <c r="C91" t="s">
        <v>3948</v>
      </c>
      <c r="D91" t="s">
        <v>10</v>
      </c>
      <c r="E91">
        <v>771</v>
      </c>
      <c r="F91" t="b">
        <v>0</v>
      </c>
      <c r="G91" t="str">
        <f>HYPERLINK("https://www.google.com/maps/search/?api=1&amp;query=25.19385663,44.59463217", "View Map")</f>
        <v>View Map</v>
      </c>
    </row>
    <row r="92" spans="1:7" x14ac:dyDescent="0.3">
      <c r="A92" t="s">
        <v>4125</v>
      </c>
      <c r="B92" t="s">
        <v>4126</v>
      </c>
      <c r="C92" t="s">
        <v>3948</v>
      </c>
      <c r="D92" t="s">
        <v>10</v>
      </c>
      <c r="E92">
        <v>769</v>
      </c>
      <c r="F92" t="b">
        <v>0</v>
      </c>
      <c r="G92" t="str">
        <f>HYPERLINK("https://www.google.com/maps/search/?api=1&amp;query=25.10925348,43.47354804", "View Map")</f>
        <v>View Map</v>
      </c>
    </row>
    <row r="93" spans="1:7" x14ac:dyDescent="0.3">
      <c r="A93" t="s">
        <v>4127</v>
      </c>
      <c r="B93" t="s">
        <v>4128</v>
      </c>
      <c r="C93" t="s">
        <v>3948</v>
      </c>
      <c r="D93" t="s">
        <v>10</v>
      </c>
      <c r="E93">
        <v>769</v>
      </c>
      <c r="F93" t="b">
        <v>1</v>
      </c>
      <c r="G93" t="str">
        <f>HYPERLINK("https://www.google.com/maps/search/?api=1&amp;query=24.49680345,44.38447465", "View Map")</f>
        <v>View Map</v>
      </c>
    </row>
    <row r="94" spans="1:7" x14ac:dyDescent="0.3">
      <c r="A94" t="s">
        <v>4129</v>
      </c>
      <c r="B94" t="s">
        <v>4130</v>
      </c>
      <c r="C94" t="s">
        <v>3951</v>
      </c>
      <c r="D94" t="s">
        <v>154</v>
      </c>
      <c r="E94">
        <v>763</v>
      </c>
      <c r="F94" t="b">
        <v>1</v>
      </c>
      <c r="G94" t="str">
        <f>HYPERLINK("https://www.google.com/maps/search/?api=1&amp;query=23.76431816,44.76264936", "View Map")</f>
        <v>View Map</v>
      </c>
    </row>
    <row r="95" spans="1:7" x14ac:dyDescent="0.3">
      <c r="A95" t="s">
        <v>83</v>
      </c>
      <c r="B95" t="s">
        <v>4131</v>
      </c>
      <c r="C95" t="s">
        <v>3948</v>
      </c>
      <c r="D95" t="s">
        <v>10</v>
      </c>
      <c r="E95">
        <v>753</v>
      </c>
      <c r="F95" t="b">
        <v>0</v>
      </c>
      <c r="G95" t="str">
        <f>HYPERLINK("https://www.google.com/maps/search/?api=1&amp;query=24.50087887,44.39025447", "View Map")</f>
        <v>View Map</v>
      </c>
    </row>
    <row r="96" spans="1:7" x14ac:dyDescent="0.3">
      <c r="A96" t="s">
        <v>3970</v>
      </c>
      <c r="B96" t="s">
        <v>4132</v>
      </c>
      <c r="C96" t="s">
        <v>3948</v>
      </c>
      <c r="D96" t="s">
        <v>10</v>
      </c>
      <c r="E96">
        <v>753</v>
      </c>
      <c r="F96" t="b">
        <v>1</v>
      </c>
      <c r="G96" t="str">
        <f>HYPERLINK("https://www.google.com/maps/search/?api=1&amp;query=24.54648276,44.43771395", "View Map")</f>
        <v>View Map</v>
      </c>
    </row>
    <row r="97" spans="1:7" x14ac:dyDescent="0.3">
      <c r="A97" t="s">
        <v>4133</v>
      </c>
      <c r="B97" t="s">
        <v>4134</v>
      </c>
      <c r="C97" t="s">
        <v>3948</v>
      </c>
      <c r="D97" t="s">
        <v>154</v>
      </c>
      <c r="E97">
        <v>751</v>
      </c>
      <c r="F97" t="b">
        <v>1</v>
      </c>
      <c r="G97" t="str">
        <f>HYPERLINK("https://www.google.com/maps/search/?api=1&amp;query=25.16181981,44.58827158", "View Map")</f>
        <v>View Map</v>
      </c>
    </row>
    <row r="98" spans="1:7" x14ac:dyDescent="0.3">
      <c r="A98" t="s">
        <v>4135</v>
      </c>
      <c r="B98" t="s">
        <v>4136</v>
      </c>
      <c r="C98" t="s">
        <v>3948</v>
      </c>
      <c r="D98" t="s">
        <v>154</v>
      </c>
      <c r="E98">
        <v>750</v>
      </c>
      <c r="F98" t="b">
        <v>0</v>
      </c>
      <c r="G98" t="str">
        <f>HYPERLINK("https://www.google.com/maps/search/?api=1&amp;query=24.70509199,43.75473471", "View Map")</f>
        <v>View Map</v>
      </c>
    </row>
    <row r="99" spans="1:7" x14ac:dyDescent="0.3">
      <c r="A99" t="s">
        <v>4137</v>
      </c>
      <c r="B99" t="s">
        <v>4138</v>
      </c>
      <c r="C99" t="s">
        <v>4102</v>
      </c>
      <c r="D99" t="s">
        <v>10</v>
      </c>
      <c r="E99">
        <v>744</v>
      </c>
      <c r="F99" t="b">
        <v>1</v>
      </c>
      <c r="G99" t="str">
        <f>HYPERLINK("https://www.google.com/maps/search/?api=1&amp;query=23.89351698,42.90800342", "View Map")</f>
        <v>View Map</v>
      </c>
    </row>
    <row r="100" spans="1:7" x14ac:dyDescent="0.3">
      <c r="A100" t="s">
        <v>4139</v>
      </c>
      <c r="B100" t="s">
        <v>4140</v>
      </c>
      <c r="C100" t="s">
        <v>3951</v>
      </c>
      <c r="D100" t="s">
        <v>10</v>
      </c>
      <c r="E100">
        <v>742</v>
      </c>
      <c r="F100" t="b">
        <v>0</v>
      </c>
      <c r="G100" t="str">
        <f>HYPERLINK("https://www.google.com/maps/search/?api=1&amp;query=23.78627,44.78729", "View Map")</f>
        <v>View Map</v>
      </c>
    </row>
    <row r="101" spans="1:7" x14ac:dyDescent="0.3">
      <c r="A101" t="s">
        <v>4141</v>
      </c>
      <c r="B101" t="s">
        <v>4142</v>
      </c>
      <c r="C101" t="s">
        <v>3948</v>
      </c>
      <c r="D101" t="s">
        <v>10</v>
      </c>
      <c r="E101">
        <v>739</v>
      </c>
      <c r="F101" t="b">
        <v>1</v>
      </c>
      <c r="G101" t="str">
        <f>HYPERLINK("https://www.google.com/maps/search/?api=1&amp;query=25.18203577,44.59809175", "View Map")</f>
        <v>View Map</v>
      </c>
    </row>
    <row r="102" spans="1:7" x14ac:dyDescent="0.3">
      <c r="A102" t="s">
        <v>4143</v>
      </c>
      <c r="B102" t="s">
        <v>4144</v>
      </c>
      <c r="C102" t="s">
        <v>3948</v>
      </c>
      <c r="D102" t="s">
        <v>154</v>
      </c>
      <c r="E102">
        <v>735</v>
      </c>
      <c r="F102" t="b">
        <v>0</v>
      </c>
      <c r="G102" t="str">
        <f>HYPERLINK("https://www.google.com/maps/search/?api=1&amp;query=25.13779276,44.59659303", "View Map")</f>
        <v>View Map</v>
      </c>
    </row>
    <row r="103" spans="1:7" x14ac:dyDescent="0.3">
      <c r="A103" t="s">
        <v>4145</v>
      </c>
      <c r="B103" t="s">
        <v>4146</v>
      </c>
      <c r="C103" t="s">
        <v>3954</v>
      </c>
      <c r="D103" t="s">
        <v>154</v>
      </c>
      <c r="E103">
        <v>734</v>
      </c>
      <c r="F103" t="b">
        <v>1</v>
      </c>
      <c r="G103" t="str">
        <f>HYPERLINK("https://www.google.com/maps/search/?api=1&amp;query=23.55098726,45.50455666", "View Map")</f>
        <v>View Map</v>
      </c>
    </row>
    <row r="104" spans="1:7" x14ac:dyDescent="0.3">
      <c r="A104" t="s">
        <v>4147</v>
      </c>
      <c r="B104" t="s">
        <v>4148</v>
      </c>
      <c r="C104" t="s">
        <v>3951</v>
      </c>
      <c r="D104" t="s">
        <v>10</v>
      </c>
      <c r="E104">
        <v>733</v>
      </c>
      <c r="F104" t="b">
        <v>1</v>
      </c>
      <c r="G104" t="str">
        <f>HYPERLINK("https://www.google.com/maps/search/?api=1&amp;query=24.33484622,45.80896281", "View Map")</f>
        <v>View Map</v>
      </c>
    </row>
    <row r="105" spans="1:7" x14ac:dyDescent="0.3">
      <c r="A105" t="s">
        <v>4149</v>
      </c>
      <c r="B105" t="s">
        <v>4150</v>
      </c>
      <c r="C105" t="s">
        <v>3948</v>
      </c>
      <c r="D105" t="s">
        <v>10</v>
      </c>
      <c r="E105">
        <v>732</v>
      </c>
      <c r="F105" t="b">
        <v>1</v>
      </c>
      <c r="G105" t="str">
        <f>HYPERLINK("https://www.google.com/maps/search/?api=1&amp;query=25.10946853,44.68382297", "View Map")</f>
        <v>View Map</v>
      </c>
    </row>
    <row r="106" spans="1:7" x14ac:dyDescent="0.3">
      <c r="A106" t="s">
        <v>4151</v>
      </c>
      <c r="B106" t="s">
        <v>4152</v>
      </c>
      <c r="C106" t="s">
        <v>3948</v>
      </c>
      <c r="D106" t="s">
        <v>10</v>
      </c>
      <c r="E106">
        <v>729</v>
      </c>
      <c r="F106" t="b">
        <v>0</v>
      </c>
      <c r="G106" t="str">
        <f>HYPERLINK("https://www.google.com/maps/search/?api=1&amp;query=25.29063506,44.45852212", "View Map")</f>
        <v>View Map</v>
      </c>
    </row>
    <row r="107" spans="1:7" x14ac:dyDescent="0.3">
      <c r="A107" t="s">
        <v>2232</v>
      </c>
      <c r="B107" t="s">
        <v>4153</v>
      </c>
      <c r="C107" t="s">
        <v>4091</v>
      </c>
      <c r="D107" t="s">
        <v>10</v>
      </c>
      <c r="E107">
        <v>725</v>
      </c>
      <c r="F107" t="b">
        <v>1</v>
      </c>
      <c r="G107" t="str">
        <f>HYPERLINK("https://www.google.com/maps/search/?api=1&amp;query=24.50711365,46.07075512", "View Map")</f>
        <v>View Map</v>
      </c>
    </row>
    <row r="108" spans="1:7" x14ac:dyDescent="0.3">
      <c r="A108" t="s">
        <v>4154</v>
      </c>
      <c r="B108" t="s">
        <v>4155</v>
      </c>
      <c r="C108" t="s">
        <v>4091</v>
      </c>
      <c r="D108" t="s">
        <v>154</v>
      </c>
      <c r="E108">
        <v>724</v>
      </c>
      <c r="F108" t="b">
        <v>1</v>
      </c>
      <c r="G108" t="str">
        <f>HYPERLINK("https://www.google.com/maps/search/?api=1&amp;query=24.4605639,46.29787354", "View Map")</f>
        <v>View Map</v>
      </c>
    </row>
    <row r="109" spans="1:7" x14ac:dyDescent="0.3">
      <c r="A109" t="s">
        <v>4096</v>
      </c>
      <c r="B109" t="s">
        <v>4156</v>
      </c>
      <c r="C109" t="s">
        <v>3948</v>
      </c>
      <c r="D109" t="s">
        <v>154</v>
      </c>
      <c r="E109">
        <v>724</v>
      </c>
      <c r="F109" t="b">
        <v>1</v>
      </c>
      <c r="G109" t="str">
        <f>HYPERLINK("https://www.google.com/maps/search/?api=1&amp;query=25.1569913,44.60630394", "View Map")</f>
        <v>View Map</v>
      </c>
    </row>
    <row r="110" spans="1:7" x14ac:dyDescent="0.3">
      <c r="A110" t="s">
        <v>4157</v>
      </c>
      <c r="B110" t="s">
        <v>4158</v>
      </c>
      <c r="C110" t="s">
        <v>4102</v>
      </c>
      <c r="D110" t="s">
        <v>154</v>
      </c>
      <c r="E110">
        <v>723</v>
      </c>
      <c r="F110" t="b">
        <v>0</v>
      </c>
      <c r="G110" t="str">
        <f>HYPERLINK("https://www.google.com/maps/search/?api=1&amp;query=24.3521358,43.25142824", "View Map")</f>
        <v>View Map</v>
      </c>
    </row>
    <row r="111" spans="1:7" x14ac:dyDescent="0.3">
      <c r="A111" t="s">
        <v>4159</v>
      </c>
      <c r="B111" t="s">
        <v>4160</v>
      </c>
      <c r="C111" t="s">
        <v>3948</v>
      </c>
      <c r="D111" t="s">
        <v>154</v>
      </c>
      <c r="E111">
        <v>708</v>
      </c>
      <c r="F111" t="b">
        <v>1</v>
      </c>
      <c r="G111" t="str">
        <f>HYPERLINK("https://www.google.com/maps/search/?api=1&amp;query=24.49316076,44.38408946", "View Map")</f>
        <v>View Map</v>
      </c>
    </row>
    <row r="112" spans="1:7" x14ac:dyDescent="0.3">
      <c r="A112" t="s">
        <v>4161</v>
      </c>
      <c r="B112" t="s">
        <v>4162</v>
      </c>
      <c r="C112" t="s">
        <v>3954</v>
      </c>
      <c r="D112" t="s">
        <v>154</v>
      </c>
      <c r="E112">
        <v>707</v>
      </c>
      <c r="F112" t="b">
        <v>1</v>
      </c>
      <c r="G112" t="str">
        <f>HYPERLINK("https://www.google.com/maps/search/?api=1&amp;query=23.58089921,45.596801", "View Map")</f>
        <v>View Map</v>
      </c>
    </row>
    <row r="113" spans="1:7" x14ac:dyDescent="0.3">
      <c r="A113" t="s">
        <v>3980</v>
      </c>
      <c r="B113" t="s">
        <v>4163</v>
      </c>
      <c r="C113" t="s">
        <v>3951</v>
      </c>
      <c r="D113" t="s">
        <v>154</v>
      </c>
      <c r="E113">
        <v>703</v>
      </c>
      <c r="F113" t="b">
        <v>1</v>
      </c>
      <c r="G113" t="str">
        <f>HYPERLINK("https://www.google.com/maps/search/?api=1&amp;query=24.08009438,45.3132777", "View Map")</f>
        <v>View Map</v>
      </c>
    </row>
    <row r="114" spans="1:7" x14ac:dyDescent="0.3">
      <c r="A114" t="s">
        <v>4164</v>
      </c>
      <c r="B114" t="s">
        <v>4165</v>
      </c>
      <c r="C114" t="s">
        <v>4102</v>
      </c>
      <c r="D114" t="s">
        <v>154</v>
      </c>
      <c r="E114">
        <v>701</v>
      </c>
      <c r="F114" t="b">
        <v>1</v>
      </c>
      <c r="G114" t="str">
        <f>HYPERLINK("https://www.google.com/maps/search/?api=1&amp;query=23.69554211,42.19709338", "View Map")</f>
        <v>View Map</v>
      </c>
    </row>
    <row r="115" spans="1:7" x14ac:dyDescent="0.3">
      <c r="A115" t="s">
        <v>4166</v>
      </c>
      <c r="B115" t="s">
        <v>4167</v>
      </c>
      <c r="C115" t="s">
        <v>3951</v>
      </c>
      <c r="D115" t="s">
        <v>154</v>
      </c>
      <c r="E115">
        <v>697</v>
      </c>
      <c r="F115" t="b">
        <v>1</v>
      </c>
      <c r="G115" t="str">
        <f>HYPERLINK("https://www.google.com/maps/search/?api=1&amp;query=23.49114061,44.38875764", "View Map")</f>
        <v>View Map</v>
      </c>
    </row>
    <row r="116" spans="1:7" x14ac:dyDescent="0.3">
      <c r="A116" t="s">
        <v>4168</v>
      </c>
      <c r="B116" t="s">
        <v>4169</v>
      </c>
      <c r="C116" t="s">
        <v>3948</v>
      </c>
      <c r="D116" t="s">
        <v>154</v>
      </c>
      <c r="E116">
        <v>692</v>
      </c>
      <c r="F116" t="b">
        <v>1</v>
      </c>
      <c r="G116" t="str">
        <f>HYPERLINK("https://www.google.com/maps/search/?api=1&amp;query=24.20045799,43.84274351", "View Map")</f>
        <v>View Map</v>
      </c>
    </row>
    <row r="117" spans="1:7" x14ac:dyDescent="0.3">
      <c r="A117" t="s">
        <v>3970</v>
      </c>
      <c r="B117" t="s">
        <v>4170</v>
      </c>
      <c r="C117" t="s">
        <v>3948</v>
      </c>
      <c r="D117" t="s">
        <v>154</v>
      </c>
      <c r="E117">
        <v>687</v>
      </c>
      <c r="F117" t="b">
        <v>1</v>
      </c>
      <c r="G117" t="str">
        <f>HYPERLINK("https://www.google.com/maps/search/?api=1&amp;query=24.53839163,44.41077419", "View Map")</f>
        <v>View Map</v>
      </c>
    </row>
    <row r="118" spans="1:7" x14ac:dyDescent="0.3">
      <c r="A118" t="s">
        <v>752</v>
      </c>
      <c r="B118" t="s">
        <v>4171</v>
      </c>
      <c r="C118" t="s">
        <v>3948</v>
      </c>
      <c r="D118" t="s">
        <v>10</v>
      </c>
      <c r="E118">
        <v>685</v>
      </c>
      <c r="F118" t="b">
        <v>0</v>
      </c>
      <c r="G118" t="str">
        <f>HYPERLINK("https://www.google.com/maps/search/?api=1&amp;query=24.7383765,43.78606097", "View Map")</f>
        <v>View Map</v>
      </c>
    </row>
    <row r="119" spans="1:7" x14ac:dyDescent="0.3">
      <c r="A119" t="s">
        <v>4172</v>
      </c>
      <c r="B119" t="s">
        <v>4173</v>
      </c>
      <c r="C119" t="s">
        <v>3948</v>
      </c>
      <c r="D119" t="s">
        <v>10</v>
      </c>
      <c r="E119">
        <v>683</v>
      </c>
      <c r="F119" t="b">
        <v>0</v>
      </c>
      <c r="G119" t="str">
        <f>HYPERLINK("https://www.google.com/maps/search/?api=1&amp;query=24.73908897,43.78706358", "View Map")</f>
        <v>View Map</v>
      </c>
    </row>
    <row r="120" spans="1:7" x14ac:dyDescent="0.3">
      <c r="A120" t="s">
        <v>4174</v>
      </c>
      <c r="B120" t="s">
        <v>4175</v>
      </c>
      <c r="C120" t="s">
        <v>3951</v>
      </c>
      <c r="D120" t="s">
        <v>154</v>
      </c>
      <c r="E120">
        <v>682</v>
      </c>
      <c r="F120" t="b">
        <v>1</v>
      </c>
      <c r="G120" t="str">
        <f>HYPERLINK("https://www.google.com/maps/search/?api=1&amp;query=24.54918392,45.70646594", "View Map")</f>
        <v>View Map</v>
      </c>
    </row>
    <row r="121" spans="1:7" x14ac:dyDescent="0.3">
      <c r="A121" t="s">
        <v>4176</v>
      </c>
      <c r="B121" t="s">
        <v>4177</v>
      </c>
      <c r="C121" t="s">
        <v>3948</v>
      </c>
      <c r="D121" t="s">
        <v>154</v>
      </c>
      <c r="E121">
        <v>682</v>
      </c>
      <c r="F121" t="b">
        <v>0</v>
      </c>
      <c r="G121" t="str">
        <f>HYPERLINK("https://www.google.com/maps/search/?api=1&amp;query=24.47161004,44.36229193", "View Map")</f>
        <v>View Map</v>
      </c>
    </row>
    <row r="122" spans="1:7" x14ac:dyDescent="0.3">
      <c r="A122" t="s">
        <v>4178</v>
      </c>
      <c r="B122" t="s">
        <v>4179</v>
      </c>
      <c r="C122" t="s">
        <v>3991</v>
      </c>
      <c r="D122" t="s">
        <v>154</v>
      </c>
      <c r="E122">
        <v>677</v>
      </c>
      <c r="F122" t="b">
        <v>1</v>
      </c>
      <c r="G122" t="str">
        <f>HYPERLINK("https://www.google.com/maps/search/?api=1&amp;query=24.59424125,46.12436657", "View Map")</f>
        <v>View Map</v>
      </c>
    </row>
    <row r="123" spans="1:7" x14ac:dyDescent="0.3">
      <c r="A123" t="s">
        <v>4180</v>
      </c>
      <c r="B123" t="s">
        <v>4181</v>
      </c>
      <c r="C123" t="s">
        <v>3948</v>
      </c>
      <c r="D123" t="s">
        <v>10</v>
      </c>
      <c r="E123">
        <v>676</v>
      </c>
      <c r="F123" t="b">
        <v>0</v>
      </c>
      <c r="G123" t="str">
        <f>HYPERLINK("https://www.google.com/maps/search/?api=1&amp;query=25.33391363,44.46656504", "View Map")</f>
        <v>View Map</v>
      </c>
    </row>
    <row r="124" spans="1:7" x14ac:dyDescent="0.3">
      <c r="A124" t="s">
        <v>3970</v>
      </c>
      <c r="B124" t="s">
        <v>4182</v>
      </c>
      <c r="C124" t="s">
        <v>3948</v>
      </c>
      <c r="D124" t="s">
        <v>154</v>
      </c>
      <c r="E124">
        <v>674</v>
      </c>
      <c r="F124" t="b">
        <v>1</v>
      </c>
      <c r="G124" t="str">
        <f>HYPERLINK("https://www.google.com/maps/search/?api=1&amp;query=24.56182285,44.45489738", "View Map")</f>
        <v>View Map</v>
      </c>
    </row>
    <row r="125" spans="1:7" x14ac:dyDescent="0.3">
      <c r="A125" t="s">
        <v>1769</v>
      </c>
      <c r="B125" t="s">
        <v>4183</v>
      </c>
      <c r="C125" t="s">
        <v>3991</v>
      </c>
      <c r="D125" t="s">
        <v>10</v>
      </c>
      <c r="E125">
        <v>670</v>
      </c>
      <c r="F125" t="b">
        <v>0</v>
      </c>
      <c r="G125" t="str">
        <f>HYPERLINK("https://www.google.com/maps/search/?api=1&amp;query=24.49801214,46.18487527", "View Map")</f>
        <v>View Map</v>
      </c>
    </row>
    <row r="126" spans="1:7" x14ac:dyDescent="0.3">
      <c r="A126" t="s">
        <v>4184</v>
      </c>
      <c r="B126" t="s">
        <v>4185</v>
      </c>
      <c r="C126" t="s">
        <v>3948</v>
      </c>
      <c r="D126" t="s">
        <v>154</v>
      </c>
      <c r="E126">
        <v>665</v>
      </c>
      <c r="F126" t="b">
        <v>1</v>
      </c>
      <c r="G126" t="str">
        <f>HYPERLINK("https://www.google.com/maps/search/?api=1&amp;query=24.67497996,43.68389488", "View Map")</f>
        <v>View Map</v>
      </c>
    </row>
    <row r="127" spans="1:7" x14ac:dyDescent="0.3">
      <c r="A127" t="s">
        <v>4186</v>
      </c>
      <c r="B127" t="s">
        <v>4187</v>
      </c>
      <c r="C127" t="s">
        <v>3948</v>
      </c>
      <c r="D127" t="s">
        <v>154</v>
      </c>
      <c r="E127">
        <v>657</v>
      </c>
      <c r="F127" t="b">
        <v>0</v>
      </c>
      <c r="G127" t="str">
        <f>HYPERLINK("https://www.google.com/maps/search/?api=1&amp;query=25.3767129,44.50719616", "View Map")</f>
        <v>View Map</v>
      </c>
    </row>
    <row r="128" spans="1:7" x14ac:dyDescent="0.3">
      <c r="A128" t="s">
        <v>4188</v>
      </c>
      <c r="B128" t="s">
        <v>4189</v>
      </c>
      <c r="C128" t="s">
        <v>4102</v>
      </c>
      <c r="D128" t="s">
        <v>154</v>
      </c>
      <c r="E128">
        <v>655</v>
      </c>
      <c r="F128" t="b">
        <v>0</v>
      </c>
      <c r="G128" t="str">
        <f>HYPERLINK("https://www.google.com/maps/search/?api=1&amp;query=24.28584005,43.41741925", "View Map")</f>
        <v>View Map</v>
      </c>
    </row>
    <row r="129" spans="1:7" x14ac:dyDescent="0.3">
      <c r="A129" t="s">
        <v>4190</v>
      </c>
      <c r="B129" t="s">
        <v>4191</v>
      </c>
      <c r="C129" t="s">
        <v>3951</v>
      </c>
      <c r="D129" t="s">
        <v>154</v>
      </c>
      <c r="E129">
        <v>655</v>
      </c>
      <c r="F129" t="b">
        <v>1</v>
      </c>
      <c r="G129" t="str">
        <f>HYPERLINK("https://www.google.com/maps/search/?api=1&amp;query=23.99629295,45.39097411", "View Map")</f>
        <v>View Map</v>
      </c>
    </row>
    <row r="130" spans="1:7" x14ac:dyDescent="0.3">
      <c r="A130" t="s">
        <v>4192</v>
      </c>
      <c r="B130" t="s">
        <v>4193</v>
      </c>
      <c r="C130" t="s">
        <v>3948</v>
      </c>
      <c r="D130" t="s">
        <v>10</v>
      </c>
      <c r="E130">
        <v>653</v>
      </c>
      <c r="F130" t="b">
        <v>1</v>
      </c>
      <c r="G130" t="str">
        <f>HYPERLINK("https://www.google.com/maps/search/?api=1&amp;query=24.44964203,44.3728154", "View Map")</f>
        <v>View Map</v>
      </c>
    </row>
    <row r="131" spans="1:7" x14ac:dyDescent="0.3">
      <c r="A131" t="s">
        <v>4194</v>
      </c>
      <c r="B131" t="s">
        <v>4195</v>
      </c>
      <c r="C131" t="s">
        <v>3948</v>
      </c>
      <c r="D131" t="s">
        <v>10</v>
      </c>
      <c r="E131">
        <v>653</v>
      </c>
      <c r="F131" t="b">
        <v>0</v>
      </c>
      <c r="G131" t="str">
        <f>HYPERLINK("https://www.google.com/maps/search/?api=1&amp;query=24.20811766,44.22881196", "View Map")</f>
        <v>View Map</v>
      </c>
    </row>
    <row r="132" spans="1:7" x14ac:dyDescent="0.3">
      <c r="A132" t="s">
        <v>4161</v>
      </c>
      <c r="B132" t="s">
        <v>4196</v>
      </c>
      <c r="C132" t="s">
        <v>3954</v>
      </c>
      <c r="D132" t="s">
        <v>10</v>
      </c>
      <c r="E132">
        <v>647</v>
      </c>
      <c r="F132" t="b">
        <v>1</v>
      </c>
      <c r="G132" t="str">
        <f>HYPERLINK("https://www.google.com/maps/search/?api=1&amp;query=23.22202517,45.52271093", "View Map")</f>
        <v>View Map</v>
      </c>
    </row>
    <row r="133" spans="1:7" x14ac:dyDescent="0.3">
      <c r="A133" t="s">
        <v>3976</v>
      </c>
      <c r="B133" t="s">
        <v>4197</v>
      </c>
      <c r="C133" t="s">
        <v>3948</v>
      </c>
      <c r="D133" t="s">
        <v>154</v>
      </c>
      <c r="E133">
        <v>646</v>
      </c>
      <c r="F133" t="b">
        <v>1</v>
      </c>
      <c r="G133" t="str">
        <f>HYPERLINK("https://www.google.com/maps/search/?api=1&amp;query=24.4955568,44.38286592", "View Map")</f>
        <v>View Map</v>
      </c>
    </row>
    <row r="134" spans="1:7" x14ac:dyDescent="0.3">
      <c r="A134" t="s">
        <v>4198</v>
      </c>
      <c r="B134" t="s">
        <v>4199</v>
      </c>
      <c r="C134" t="s">
        <v>4091</v>
      </c>
      <c r="D134" t="s">
        <v>10</v>
      </c>
      <c r="E134">
        <v>642</v>
      </c>
      <c r="F134" t="b">
        <v>0</v>
      </c>
      <c r="G134" t="str">
        <f>HYPERLINK("https://www.google.com/maps/search/?api=1&amp;query=24.49695313,46.31127005", "View Map")</f>
        <v>View Map</v>
      </c>
    </row>
    <row r="135" spans="1:7" x14ac:dyDescent="0.3">
      <c r="A135" t="s">
        <v>4200</v>
      </c>
      <c r="B135" t="s">
        <v>4201</v>
      </c>
      <c r="C135" t="s">
        <v>4091</v>
      </c>
      <c r="D135" t="s">
        <v>154</v>
      </c>
      <c r="E135">
        <v>640</v>
      </c>
      <c r="F135" t="b">
        <v>1</v>
      </c>
      <c r="G135" t="str">
        <f>HYPERLINK("https://www.google.com/maps/search/?api=1&amp;query=24.45880199,46.29016549", "View Map")</f>
        <v>View Map</v>
      </c>
    </row>
    <row r="136" spans="1:7" x14ac:dyDescent="0.3">
      <c r="A136" t="s">
        <v>4202</v>
      </c>
      <c r="B136" t="s">
        <v>4203</v>
      </c>
      <c r="C136" t="s">
        <v>3951</v>
      </c>
      <c r="D136" t="s">
        <v>154</v>
      </c>
      <c r="E136">
        <v>637</v>
      </c>
      <c r="F136" t="b">
        <v>1</v>
      </c>
      <c r="G136" t="str">
        <f>HYPERLINK("https://www.google.com/maps/search/?api=1&amp;query=23.7045444,44.68671604", "View Map")</f>
        <v>View Map</v>
      </c>
    </row>
    <row r="137" spans="1:7" x14ac:dyDescent="0.3">
      <c r="A137" t="s">
        <v>3970</v>
      </c>
      <c r="B137" t="s">
        <v>4204</v>
      </c>
      <c r="C137" t="s">
        <v>3948</v>
      </c>
      <c r="D137" t="s">
        <v>10</v>
      </c>
      <c r="E137">
        <v>635</v>
      </c>
      <c r="F137" t="b">
        <v>1</v>
      </c>
      <c r="G137" t="str">
        <f>HYPERLINK("https://www.google.com/maps/search/?api=1&amp;query=24.512779,44.39554229", "View Map")</f>
        <v>View Map</v>
      </c>
    </row>
    <row r="138" spans="1:7" x14ac:dyDescent="0.3">
      <c r="A138" t="s">
        <v>4205</v>
      </c>
      <c r="B138" t="s">
        <v>4206</v>
      </c>
      <c r="C138" t="s">
        <v>3951</v>
      </c>
      <c r="D138" t="s">
        <v>10</v>
      </c>
      <c r="E138">
        <v>635</v>
      </c>
      <c r="F138" t="b">
        <v>1</v>
      </c>
      <c r="G138" t="str">
        <f>HYPERLINK("https://www.google.com/maps/search/?api=1&amp;query=24.47537055,45.67232534", "View Map")</f>
        <v>View Map</v>
      </c>
    </row>
    <row r="139" spans="1:7" x14ac:dyDescent="0.3">
      <c r="A139" t="s">
        <v>4207</v>
      </c>
      <c r="B139" t="s">
        <v>4208</v>
      </c>
      <c r="C139" t="s">
        <v>3948</v>
      </c>
      <c r="D139" t="s">
        <v>154</v>
      </c>
      <c r="E139">
        <v>633</v>
      </c>
      <c r="F139" t="b">
        <v>0</v>
      </c>
      <c r="G139" t="str">
        <f>HYPERLINK("https://www.google.com/maps/search/?api=1&amp;query=25.51183294,44.37314237", "View Map")</f>
        <v>View Map</v>
      </c>
    </row>
    <row r="140" spans="1:7" x14ac:dyDescent="0.3">
      <c r="A140" t="s">
        <v>4209</v>
      </c>
      <c r="B140" t="s">
        <v>4210</v>
      </c>
      <c r="C140" t="s">
        <v>3948</v>
      </c>
      <c r="D140" t="s">
        <v>10</v>
      </c>
      <c r="E140">
        <v>617</v>
      </c>
      <c r="F140" t="b">
        <v>0</v>
      </c>
      <c r="G140" t="str">
        <f>HYPERLINK("https://www.google.com/maps/search/?api=1&amp;query=25.19341282,44.60036332", "View Map")</f>
        <v>View Map</v>
      </c>
    </row>
    <row r="141" spans="1:7" x14ac:dyDescent="0.3">
      <c r="A141" t="s">
        <v>4211</v>
      </c>
      <c r="B141" t="s">
        <v>4212</v>
      </c>
      <c r="C141" t="s">
        <v>4091</v>
      </c>
      <c r="D141" t="s">
        <v>154</v>
      </c>
      <c r="E141">
        <v>609</v>
      </c>
      <c r="F141" t="b">
        <v>1</v>
      </c>
      <c r="G141" t="str">
        <f>HYPERLINK("https://www.google.com/maps/search/?api=1&amp;query=24.4598844,46.2605871", "View Map")</f>
        <v>View Map</v>
      </c>
    </row>
    <row r="142" spans="1:7" x14ac:dyDescent="0.3">
      <c r="A142" t="s">
        <v>4213</v>
      </c>
      <c r="B142" t="s">
        <v>4214</v>
      </c>
      <c r="C142" t="s">
        <v>4102</v>
      </c>
      <c r="D142" t="s">
        <v>10</v>
      </c>
      <c r="E142">
        <v>605</v>
      </c>
      <c r="F142" t="b">
        <v>1</v>
      </c>
      <c r="G142" t="str">
        <f>HYPERLINK("https://www.google.com/maps/search/?api=1&amp;query=23.91393466,42.92605712", "View Map")</f>
        <v>View Map</v>
      </c>
    </row>
    <row r="143" spans="1:7" x14ac:dyDescent="0.3">
      <c r="A143" t="s">
        <v>4215</v>
      </c>
      <c r="B143" t="s">
        <v>4216</v>
      </c>
      <c r="C143" t="s">
        <v>3951</v>
      </c>
      <c r="D143" t="s">
        <v>154</v>
      </c>
      <c r="E143">
        <v>602</v>
      </c>
      <c r="F143" t="b">
        <v>1</v>
      </c>
      <c r="G143" t="str">
        <f>HYPERLINK("https://www.google.com/maps/search/?api=1&amp;query=24.04980918,45.26207937", "View Map")</f>
        <v>View Map</v>
      </c>
    </row>
    <row r="144" spans="1:7" x14ac:dyDescent="0.3">
      <c r="A144" t="s">
        <v>3970</v>
      </c>
      <c r="B144" t="s">
        <v>4217</v>
      </c>
      <c r="C144" t="s">
        <v>3948</v>
      </c>
      <c r="D144" t="s">
        <v>154</v>
      </c>
      <c r="E144">
        <v>592</v>
      </c>
      <c r="F144" t="b">
        <v>1</v>
      </c>
      <c r="G144" t="str">
        <f>HYPERLINK("https://www.google.com/maps/search/?api=1&amp;query=24.5520837,44.42524255", "View Map")</f>
        <v>View Map</v>
      </c>
    </row>
    <row r="145" spans="1:7" x14ac:dyDescent="0.3">
      <c r="A145" t="s">
        <v>4218</v>
      </c>
      <c r="B145" t="s">
        <v>4219</v>
      </c>
      <c r="C145" t="s">
        <v>3954</v>
      </c>
      <c r="D145" t="s">
        <v>154</v>
      </c>
      <c r="E145">
        <v>585</v>
      </c>
      <c r="F145" t="b">
        <v>1</v>
      </c>
      <c r="G145" t="str">
        <f>HYPERLINK("https://www.google.com/maps/search/?api=1&amp;query=23.34714357,45.24884866", "View Map")</f>
        <v>View Map</v>
      </c>
    </row>
    <row r="146" spans="1:7" x14ac:dyDescent="0.3">
      <c r="A146" t="s">
        <v>4220</v>
      </c>
      <c r="B146" t="s">
        <v>4221</v>
      </c>
      <c r="C146" t="s">
        <v>3948</v>
      </c>
      <c r="D146" t="s">
        <v>154</v>
      </c>
      <c r="E146">
        <v>585</v>
      </c>
      <c r="F146" t="b">
        <v>0</v>
      </c>
      <c r="G146" t="str">
        <f>HYPERLINK("https://www.google.com/maps/search/?api=1&amp;query=24.53278433,44.28076299", "View Map")</f>
        <v>View Map</v>
      </c>
    </row>
    <row r="147" spans="1:7" x14ac:dyDescent="0.3">
      <c r="A147" t="s">
        <v>105</v>
      </c>
      <c r="B147" t="s">
        <v>4222</v>
      </c>
      <c r="C147" t="s">
        <v>3948</v>
      </c>
      <c r="D147" t="s">
        <v>154</v>
      </c>
      <c r="E147">
        <v>580</v>
      </c>
      <c r="F147" t="b">
        <v>0</v>
      </c>
      <c r="G147" t="str">
        <f>HYPERLINK("https://www.google.com/maps/search/?api=1&amp;query=25.49227438,44.41025467", "View Map")</f>
        <v>View Map</v>
      </c>
    </row>
    <row r="148" spans="1:7" x14ac:dyDescent="0.3">
      <c r="A148" t="s">
        <v>4223</v>
      </c>
      <c r="B148" t="s">
        <v>4224</v>
      </c>
      <c r="C148" t="s">
        <v>3951</v>
      </c>
      <c r="D148" t="s">
        <v>154</v>
      </c>
      <c r="E148">
        <v>579</v>
      </c>
      <c r="F148" t="b">
        <v>1</v>
      </c>
      <c r="G148" t="str">
        <f>HYPERLINK("https://www.google.com/maps/search/?api=1&amp;query=23.6103233,44.4867038", "View Map")</f>
        <v>View Map</v>
      </c>
    </row>
    <row r="149" spans="1:7" x14ac:dyDescent="0.3">
      <c r="A149" t="s">
        <v>3980</v>
      </c>
      <c r="B149" t="s">
        <v>4225</v>
      </c>
      <c r="C149" t="s">
        <v>3951</v>
      </c>
      <c r="D149" t="s">
        <v>154</v>
      </c>
      <c r="E149">
        <v>576</v>
      </c>
      <c r="F149" t="b">
        <v>1</v>
      </c>
      <c r="G149" t="str">
        <f>HYPERLINK("https://www.google.com/maps/search/?api=1&amp;query=24.08557491,45.33983807", "View Map")</f>
        <v>View Map</v>
      </c>
    </row>
    <row r="150" spans="1:7" x14ac:dyDescent="0.3">
      <c r="A150" t="s">
        <v>3970</v>
      </c>
      <c r="B150" t="s">
        <v>4226</v>
      </c>
      <c r="C150" t="s">
        <v>3948</v>
      </c>
      <c r="D150" t="s">
        <v>154</v>
      </c>
      <c r="E150">
        <v>575</v>
      </c>
      <c r="F150" t="b">
        <v>0</v>
      </c>
      <c r="G150" t="str">
        <f>HYPERLINK("https://www.google.com/maps/search/?api=1&amp;query=24.52465644,45.03134405", "View Map")</f>
        <v>View Map</v>
      </c>
    </row>
    <row r="151" spans="1:7" x14ac:dyDescent="0.3">
      <c r="A151" t="s">
        <v>4227</v>
      </c>
      <c r="B151" t="s">
        <v>4228</v>
      </c>
      <c r="C151" t="s">
        <v>3948</v>
      </c>
      <c r="D151" t="s">
        <v>154</v>
      </c>
      <c r="E151">
        <v>565</v>
      </c>
      <c r="F151" t="b">
        <v>0</v>
      </c>
      <c r="G151" t="str">
        <f>HYPERLINK("https://www.google.com/maps/search/?api=1&amp;query=24.5338014,44.26879178", "View Map")</f>
        <v>View Map</v>
      </c>
    </row>
    <row r="152" spans="1:7" x14ac:dyDescent="0.3">
      <c r="A152" t="s">
        <v>4229</v>
      </c>
      <c r="B152" t="s">
        <v>4230</v>
      </c>
      <c r="C152" t="s">
        <v>3951</v>
      </c>
      <c r="D152" t="s">
        <v>154</v>
      </c>
      <c r="E152">
        <v>565</v>
      </c>
      <c r="F152" t="b">
        <v>1</v>
      </c>
      <c r="G152" t="str">
        <f>HYPERLINK("https://www.google.com/maps/search/?api=1&amp;query=23.74358378,44.40237344", "View Map")</f>
        <v>View Map</v>
      </c>
    </row>
    <row r="153" spans="1:7" x14ac:dyDescent="0.3">
      <c r="A153" t="s">
        <v>4231</v>
      </c>
      <c r="B153" t="s">
        <v>4232</v>
      </c>
      <c r="C153" t="s">
        <v>3948</v>
      </c>
      <c r="D153" t="s">
        <v>154</v>
      </c>
      <c r="E153">
        <v>558</v>
      </c>
      <c r="F153" t="b">
        <v>0</v>
      </c>
      <c r="G153" t="str">
        <f>HYPERLINK("https://www.google.com/maps/search/?api=1&amp;query=24.50714578,44.38790569", "View Map")</f>
        <v>View Map</v>
      </c>
    </row>
    <row r="154" spans="1:7" x14ac:dyDescent="0.3">
      <c r="A154" t="s">
        <v>4233</v>
      </c>
      <c r="B154" t="s">
        <v>4234</v>
      </c>
      <c r="C154" t="s">
        <v>3991</v>
      </c>
      <c r="D154" t="s">
        <v>154</v>
      </c>
      <c r="E154">
        <v>555</v>
      </c>
      <c r="F154" t="b">
        <v>1</v>
      </c>
      <c r="G154" t="str">
        <f>HYPERLINK("https://www.google.com/maps/search/?api=1&amp;query=24.50587939,46.35950958", "View Map")</f>
        <v>View Map</v>
      </c>
    </row>
    <row r="155" spans="1:7" x14ac:dyDescent="0.3">
      <c r="A155" t="s">
        <v>4235</v>
      </c>
      <c r="B155" t="s">
        <v>4236</v>
      </c>
      <c r="C155" t="s">
        <v>3948</v>
      </c>
      <c r="D155" t="s">
        <v>154</v>
      </c>
      <c r="E155">
        <v>554</v>
      </c>
      <c r="F155" t="b">
        <v>1</v>
      </c>
      <c r="G155" t="str">
        <f>HYPERLINK("https://www.google.com/maps/search/?api=1&amp;query=24.2926481,43.75233461", "View Map")</f>
        <v>View Map</v>
      </c>
    </row>
    <row r="156" spans="1:7" x14ac:dyDescent="0.3">
      <c r="A156" t="s">
        <v>2232</v>
      </c>
      <c r="B156" t="s">
        <v>4237</v>
      </c>
      <c r="C156" t="s">
        <v>4091</v>
      </c>
      <c r="D156" t="s">
        <v>154</v>
      </c>
      <c r="E156">
        <v>552</v>
      </c>
      <c r="F156" t="b">
        <v>1</v>
      </c>
      <c r="G156" t="str">
        <f>HYPERLINK("https://www.google.com/maps/search/?api=1&amp;query=24.48731486,46.25788611", "View Map")</f>
        <v>View Map</v>
      </c>
    </row>
    <row r="157" spans="1:7" x14ac:dyDescent="0.3">
      <c r="A157" t="s">
        <v>2232</v>
      </c>
      <c r="B157" t="s">
        <v>4238</v>
      </c>
      <c r="C157" t="s">
        <v>4091</v>
      </c>
      <c r="D157" t="s">
        <v>154</v>
      </c>
      <c r="E157">
        <v>550</v>
      </c>
      <c r="F157" t="b">
        <v>1</v>
      </c>
      <c r="G157" t="str">
        <f>HYPERLINK("https://www.google.com/maps/search/?api=1&amp;query=24.47628007,46.26872917", "View Map")</f>
        <v>View Map</v>
      </c>
    </row>
    <row r="158" spans="1:7" x14ac:dyDescent="0.3">
      <c r="A158" t="s">
        <v>4239</v>
      </c>
      <c r="B158" t="s">
        <v>4240</v>
      </c>
      <c r="C158" t="s">
        <v>3948</v>
      </c>
      <c r="D158" t="s">
        <v>154</v>
      </c>
      <c r="E158">
        <v>548</v>
      </c>
      <c r="F158" t="b">
        <v>0</v>
      </c>
      <c r="G158" t="str">
        <f>HYPERLINK("https://www.google.com/maps/search/?api=1&amp;query=25.37883621,44.46317791", "View Map")</f>
        <v>View Map</v>
      </c>
    </row>
    <row r="159" spans="1:7" x14ac:dyDescent="0.3">
      <c r="A159" t="s">
        <v>182</v>
      </c>
      <c r="B159" t="s">
        <v>4241</v>
      </c>
      <c r="C159" t="s">
        <v>3948</v>
      </c>
      <c r="D159" t="s">
        <v>154</v>
      </c>
      <c r="E159">
        <v>539</v>
      </c>
      <c r="F159" t="b">
        <v>0</v>
      </c>
      <c r="G159" t="str">
        <f>HYPERLINK("https://www.google.com/maps/search/?api=1&amp;query=24.49304333,43.89204167", "View Map")</f>
        <v>View Map</v>
      </c>
    </row>
    <row r="160" spans="1:7" x14ac:dyDescent="0.3">
      <c r="A160" t="s">
        <v>4242</v>
      </c>
      <c r="B160" t="s">
        <v>4243</v>
      </c>
      <c r="C160" t="s">
        <v>4091</v>
      </c>
      <c r="D160" t="s">
        <v>154</v>
      </c>
      <c r="E160">
        <v>537</v>
      </c>
      <c r="F160" t="b">
        <v>1</v>
      </c>
      <c r="G160" t="str">
        <f>HYPERLINK("https://www.google.com/maps/search/?api=1&amp;query=24.45073409,46.30022976", "View Map")</f>
        <v>View Map</v>
      </c>
    </row>
    <row r="161" spans="1:7" x14ac:dyDescent="0.3">
      <c r="A161" t="s">
        <v>4244</v>
      </c>
      <c r="B161" t="s">
        <v>4245</v>
      </c>
      <c r="C161" t="s">
        <v>3948</v>
      </c>
      <c r="D161" t="s">
        <v>154</v>
      </c>
      <c r="E161">
        <v>534</v>
      </c>
      <c r="F161" t="b">
        <v>1</v>
      </c>
      <c r="G161" t="str">
        <f>HYPERLINK("https://www.google.com/maps/search/?api=1&amp;query=25.27284107,44.57736159", "View Map")</f>
        <v>View Map</v>
      </c>
    </row>
    <row r="162" spans="1:7" x14ac:dyDescent="0.3">
      <c r="A162" t="s">
        <v>4246</v>
      </c>
      <c r="B162" t="s">
        <v>4247</v>
      </c>
      <c r="C162" t="s">
        <v>3948</v>
      </c>
      <c r="D162" t="s">
        <v>154</v>
      </c>
      <c r="E162">
        <v>533</v>
      </c>
      <c r="F162" t="b">
        <v>1</v>
      </c>
      <c r="G162" t="str">
        <f>HYPERLINK("https://www.google.com/maps/search/?api=1&amp;query=24.54126388,43.61217773", "View Map")</f>
        <v>View Map</v>
      </c>
    </row>
    <row r="163" spans="1:7" x14ac:dyDescent="0.3">
      <c r="A163" t="s">
        <v>4248</v>
      </c>
      <c r="B163" t="s">
        <v>4249</v>
      </c>
      <c r="C163" t="s">
        <v>3948</v>
      </c>
      <c r="D163" t="s">
        <v>154</v>
      </c>
      <c r="E163">
        <v>530</v>
      </c>
      <c r="F163" t="b">
        <v>1</v>
      </c>
      <c r="G163" t="str">
        <f>HYPERLINK("https://www.google.com/maps/search/?api=1&amp;query=25.49352568,44.41472497", "View Map")</f>
        <v>View Map</v>
      </c>
    </row>
    <row r="164" spans="1:7" x14ac:dyDescent="0.3">
      <c r="A164" t="s">
        <v>4250</v>
      </c>
      <c r="B164" t="s">
        <v>4251</v>
      </c>
      <c r="C164" t="s">
        <v>3991</v>
      </c>
      <c r="D164" t="s">
        <v>154</v>
      </c>
      <c r="E164">
        <v>526</v>
      </c>
      <c r="F164" t="b">
        <v>0</v>
      </c>
      <c r="G164" t="str">
        <f>HYPERLINK("https://www.google.com/maps/search/?api=1&amp;query=24.60548017,46.14302458", "View Map")</f>
        <v>View Map</v>
      </c>
    </row>
    <row r="165" spans="1:7" x14ac:dyDescent="0.3">
      <c r="A165" t="s">
        <v>182</v>
      </c>
      <c r="B165" t="s">
        <v>4252</v>
      </c>
      <c r="C165" t="s">
        <v>3948</v>
      </c>
      <c r="D165" t="s">
        <v>154</v>
      </c>
      <c r="E165">
        <v>520</v>
      </c>
      <c r="F165" t="b">
        <v>1</v>
      </c>
      <c r="G165" t="str">
        <f>HYPERLINK("https://www.google.com/maps/search/?api=1&amp;query=24.92980305,44.713495", "View Map")</f>
        <v>View Map</v>
      </c>
    </row>
    <row r="166" spans="1:7" x14ac:dyDescent="0.3">
      <c r="A166" t="s">
        <v>4253</v>
      </c>
      <c r="B166" t="s">
        <v>4254</v>
      </c>
      <c r="C166" t="s">
        <v>3948</v>
      </c>
      <c r="D166" t="s">
        <v>154</v>
      </c>
      <c r="E166">
        <v>519</v>
      </c>
      <c r="F166" t="b">
        <v>0</v>
      </c>
      <c r="G166" t="str">
        <f>HYPERLINK("https://www.google.com/maps/search/?api=1&amp;query=24.5440669,44.4306552", "View Map")</f>
        <v>View Map</v>
      </c>
    </row>
    <row r="167" spans="1:7" x14ac:dyDescent="0.3">
      <c r="A167" t="s">
        <v>3974</v>
      </c>
      <c r="B167" t="s">
        <v>4255</v>
      </c>
      <c r="C167" t="s">
        <v>3948</v>
      </c>
      <c r="D167" t="s">
        <v>154</v>
      </c>
      <c r="E167">
        <v>518</v>
      </c>
      <c r="F167" t="b">
        <v>0</v>
      </c>
      <c r="G167" t="str">
        <f>HYPERLINK("https://www.google.com/maps/search/?api=1&amp;query=24.67280515,43.66033968", "View Map")</f>
        <v>View Map</v>
      </c>
    </row>
    <row r="168" spans="1:7" x14ac:dyDescent="0.3">
      <c r="A168" t="s">
        <v>4256</v>
      </c>
      <c r="B168" t="s">
        <v>4257</v>
      </c>
      <c r="C168" t="s">
        <v>3951</v>
      </c>
      <c r="D168" t="s">
        <v>154</v>
      </c>
      <c r="E168">
        <v>518</v>
      </c>
      <c r="F168" t="b">
        <v>1</v>
      </c>
      <c r="G168" t="str">
        <f>HYPERLINK("https://www.google.com/maps/search/?api=1&amp;query=23.84872371,44.99574978", "View Map")</f>
        <v>View Map</v>
      </c>
    </row>
    <row r="169" spans="1:7" x14ac:dyDescent="0.3">
      <c r="A169" t="s">
        <v>4258</v>
      </c>
      <c r="B169" t="s">
        <v>4259</v>
      </c>
      <c r="C169" t="s">
        <v>3951</v>
      </c>
      <c r="D169" t="s">
        <v>154</v>
      </c>
      <c r="E169">
        <v>518</v>
      </c>
      <c r="F169" t="b">
        <v>1</v>
      </c>
      <c r="G169" t="str">
        <f>HYPERLINK("https://www.google.com/maps/search/?api=1&amp;query=24.3970045,45.32037439", "View Map")</f>
        <v>View Map</v>
      </c>
    </row>
    <row r="170" spans="1:7" x14ac:dyDescent="0.3">
      <c r="A170" t="s">
        <v>4260</v>
      </c>
      <c r="B170" t="s">
        <v>4261</v>
      </c>
      <c r="C170" t="s">
        <v>3948</v>
      </c>
      <c r="D170" t="s">
        <v>154</v>
      </c>
      <c r="E170">
        <v>517</v>
      </c>
      <c r="F170" t="b">
        <v>1</v>
      </c>
      <c r="G170" t="str">
        <f>HYPERLINK("https://www.google.com/maps/search/?api=1&amp;query=24.53277053,44.4336796", "View Map")</f>
        <v>View Map</v>
      </c>
    </row>
    <row r="171" spans="1:7" x14ac:dyDescent="0.3">
      <c r="A171" t="s">
        <v>4262</v>
      </c>
      <c r="B171" t="s">
        <v>4263</v>
      </c>
      <c r="C171" t="s">
        <v>3948</v>
      </c>
      <c r="D171" t="s">
        <v>154</v>
      </c>
      <c r="E171">
        <v>516</v>
      </c>
      <c r="F171" t="b">
        <v>0</v>
      </c>
      <c r="G171" t="str">
        <f>HYPERLINK("https://www.google.com/maps/search/?api=1&amp;query=24.4732189,44.35830823", "View Map")</f>
        <v>View Map</v>
      </c>
    </row>
    <row r="172" spans="1:7" x14ac:dyDescent="0.3">
      <c r="A172" t="s">
        <v>4264</v>
      </c>
      <c r="B172" t="s">
        <v>4265</v>
      </c>
      <c r="C172" t="s">
        <v>3948</v>
      </c>
      <c r="D172" t="s">
        <v>154</v>
      </c>
      <c r="E172">
        <v>515</v>
      </c>
      <c r="F172" t="b">
        <v>1</v>
      </c>
      <c r="G172" t="str">
        <f>HYPERLINK("https://www.google.com/maps/search/?api=1&amp;query=24.51872033,44.41876975", "View Map")</f>
        <v>View Map</v>
      </c>
    </row>
    <row r="173" spans="1:7" x14ac:dyDescent="0.3">
      <c r="A173" t="s">
        <v>4266</v>
      </c>
      <c r="B173" t="s">
        <v>4267</v>
      </c>
      <c r="C173" t="s">
        <v>3954</v>
      </c>
      <c r="D173" t="s">
        <v>154</v>
      </c>
      <c r="E173">
        <v>510</v>
      </c>
      <c r="F173" t="b">
        <v>1</v>
      </c>
      <c r="G173" t="str">
        <f>HYPERLINK("https://www.google.com/maps/search/?api=1&amp;query=23.79527298,45.28387584", "View Map")</f>
        <v>View Map</v>
      </c>
    </row>
    <row r="174" spans="1:7" x14ac:dyDescent="0.3">
      <c r="A174" t="s">
        <v>4268</v>
      </c>
      <c r="B174" t="s">
        <v>4269</v>
      </c>
      <c r="C174" t="s">
        <v>4091</v>
      </c>
      <c r="D174" t="s">
        <v>154</v>
      </c>
      <c r="E174">
        <v>509</v>
      </c>
      <c r="F174" t="b">
        <v>1</v>
      </c>
      <c r="G174" t="str">
        <f>HYPERLINK("https://www.google.com/maps/search/?api=1&amp;query=24.47174856,46.26727057", "View Map")</f>
        <v>View Map</v>
      </c>
    </row>
    <row r="175" spans="1:7" x14ac:dyDescent="0.3">
      <c r="A175" t="s">
        <v>4270</v>
      </c>
      <c r="B175" t="s">
        <v>4271</v>
      </c>
      <c r="C175" t="s">
        <v>3951</v>
      </c>
      <c r="D175" t="s">
        <v>154</v>
      </c>
      <c r="E175">
        <v>509</v>
      </c>
      <c r="F175" t="b">
        <v>1</v>
      </c>
      <c r="G175" t="str">
        <f>HYPERLINK("https://www.google.com/maps/search/?api=1&amp;query=24.39246912,45.30707111", "View Map")</f>
        <v>View Map</v>
      </c>
    </row>
    <row r="176" spans="1:7" x14ac:dyDescent="0.3">
      <c r="A176" t="s">
        <v>4272</v>
      </c>
      <c r="B176" t="s">
        <v>4273</v>
      </c>
      <c r="C176" t="s">
        <v>3948</v>
      </c>
      <c r="D176" t="s">
        <v>154</v>
      </c>
      <c r="E176">
        <v>507</v>
      </c>
      <c r="F176" t="b">
        <v>0</v>
      </c>
      <c r="G176" t="str">
        <f>HYPERLINK("https://www.google.com/maps/search/?api=1&amp;query=24.54225559,44.40253415", "View Map")</f>
        <v>View Map</v>
      </c>
    </row>
    <row r="177" spans="1:7" x14ac:dyDescent="0.3">
      <c r="A177" t="s">
        <v>4274</v>
      </c>
      <c r="B177" t="s">
        <v>4275</v>
      </c>
      <c r="C177" t="s">
        <v>3948</v>
      </c>
      <c r="D177" t="s">
        <v>154</v>
      </c>
      <c r="E177">
        <v>502</v>
      </c>
      <c r="F177" t="b">
        <v>1</v>
      </c>
      <c r="G177" t="str">
        <f>HYPERLINK("https://www.google.com/maps/search/?api=1&amp;query=24.49224742,44.38380309", "View Map")</f>
        <v>View Map</v>
      </c>
    </row>
    <row r="178" spans="1:7" x14ac:dyDescent="0.3">
      <c r="A178" t="s">
        <v>4276</v>
      </c>
      <c r="B178" t="s">
        <v>4277</v>
      </c>
      <c r="C178" t="s">
        <v>3951</v>
      </c>
      <c r="D178" t="s">
        <v>154</v>
      </c>
      <c r="E178">
        <v>501</v>
      </c>
      <c r="F178" t="b">
        <v>1</v>
      </c>
      <c r="G178" t="str">
        <f>HYPERLINK("https://www.google.com/maps/search/?api=1&amp;query=23.25018693,44.64763903", "View Map")</f>
        <v>View Map</v>
      </c>
    </row>
    <row r="179" spans="1:7" x14ac:dyDescent="0.3">
      <c r="A179" t="s">
        <v>4278</v>
      </c>
      <c r="B179" t="s">
        <v>4279</v>
      </c>
      <c r="C179" t="s">
        <v>3948</v>
      </c>
      <c r="D179" t="s">
        <v>154</v>
      </c>
      <c r="E179">
        <v>500</v>
      </c>
      <c r="F179" t="b">
        <v>0</v>
      </c>
      <c r="G179" t="str">
        <f>HYPERLINK("https://www.google.com/maps/search/?api=1&amp;query=24.53853447,44.27143806", "View Map")</f>
        <v>View Map</v>
      </c>
    </row>
    <row r="180" spans="1:7" x14ac:dyDescent="0.3">
      <c r="A180" t="s">
        <v>4280</v>
      </c>
      <c r="B180" t="s">
        <v>4281</v>
      </c>
      <c r="C180" t="s">
        <v>3948</v>
      </c>
      <c r="D180" t="s">
        <v>154</v>
      </c>
      <c r="E180">
        <v>500</v>
      </c>
      <c r="F180" t="b">
        <v>1</v>
      </c>
      <c r="G180" t="str">
        <f>HYPERLINK("https://www.google.com/maps/search/?api=1&amp;query=24.45988799,44.35890947", "View Map")</f>
        <v>View Map</v>
      </c>
    </row>
    <row r="181" spans="1:7" x14ac:dyDescent="0.3">
      <c r="A181" t="s">
        <v>4282</v>
      </c>
      <c r="B181" t="s">
        <v>4283</v>
      </c>
      <c r="C181" t="s">
        <v>3948</v>
      </c>
      <c r="D181" t="s">
        <v>154</v>
      </c>
      <c r="E181">
        <v>496</v>
      </c>
      <c r="F181" t="b">
        <v>1</v>
      </c>
      <c r="G181" t="str">
        <f>HYPERLINK("https://www.google.com/maps/search/?api=1&amp;query=24.50785092,44.3850194", "View Map")</f>
        <v>View Map</v>
      </c>
    </row>
    <row r="182" spans="1:7" x14ac:dyDescent="0.3">
      <c r="A182" t="s">
        <v>4284</v>
      </c>
      <c r="B182" t="s">
        <v>4285</v>
      </c>
      <c r="C182" t="s">
        <v>3948</v>
      </c>
      <c r="D182" t="s">
        <v>154</v>
      </c>
      <c r="E182">
        <v>495</v>
      </c>
      <c r="F182" t="b">
        <v>0</v>
      </c>
      <c r="G182" t="str">
        <f>HYPERLINK("https://www.google.com/maps/search/?api=1&amp;query=24.53662283,44.27582667", "View Map")</f>
        <v>View Map</v>
      </c>
    </row>
    <row r="183" spans="1:7" x14ac:dyDescent="0.3">
      <c r="A183" t="s">
        <v>4286</v>
      </c>
      <c r="B183" t="s">
        <v>4287</v>
      </c>
      <c r="C183" t="s">
        <v>4102</v>
      </c>
      <c r="D183" t="s">
        <v>154</v>
      </c>
      <c r="E183">
        <v>493</v>
      </c>
      <c r="F183" t="b">
        <v>1</v>
      </c>
      <c r="G183" t="str">
        <f>HYPERLINK("https://www.google.com/maps/search/?api=1&amp;query=24.0248851,43.05213037", "View Map")</f>
        <v>View Map</v>
      </c>
    </row>
    <row r="184" spans="1:7" x14ac:dyDescent="0.3">
      <c r="A184" t="s">
        <v>4288</v>
      </c>
      <c r="B184" t="s">
        <v>4289</v>
      </c>
      <c r="C184" t="s">
        <v>3991</v>
      </c>
      <c r="D184" t="s">
        <v>154</v>
      </c>
      <c r="E184">
        <v>492</v>
      </c>
      <c r="F184" t="b">
        <v>1</v>
      </c>
      <c r="G184" t="str">
        <f>HYPERLINK("https://www.google.com/maps/search/?api=1&amp;query=24.61034417,46.12456146", "View Map")</f>
        <v>View Map</v>
      </c>
    </row>
    <row r="185" spans="1:7" x14ac:dyDescent="0.3">
      <c r="A185" t="s">
        <v>2232</v>
      </c>
      <c r="B185" t="s">
        <v>4290</v>
      </c>
      <c r="C185" t="s">
        <v>4091</v>
      </c>
      <c r="D185" t="s">
        <v>154</v>
      </c>
      <c r="E185">
        <v>492</v>
      </c>
      <c r="F185" t="b">
        <v>1</v>
      </c>
      <c r="G185" t="str">
        <f>HYPERLINK("https://www.google.com/maps/search/?api=1&amp;query=24.45672382,46.27073222", "View Map")</f>
        <v>View Map</v>
      </c>
    </row>
    <row r="186" spans="1:7" x14ac:dyDescent="0.3">
      <c r="A186" t="s">
        <v>4291</v>
      </c>
      <c r="B186" t="s">
        <v>4292</v>
      </c>
      <c r="C186" t="s">
        <v>3951</v>
      </c>
      <c r="D186" t="s">
        <v>154</v>
      </c>
      <c r="E186">
        <v>492</v>
      </c>
      <c r="F186" t="b">
        <v>1</v>
      </c>
      <c r="G186" t="str">
        <f>HYPERLINK("https://www.google.com/maps/search/?api=1&amp;query=24.0588756,45.27448845", "View Map")</f>
        <v>View Map</v>
      </c>
    </row>
    <row r="187" spans="1:7" x14ac:dyDescent="0.3">
      <c r="A187" t="s">
        <v>1769</v>
      </c>
      <c r="B187" t="s">
        <v>4293</v>
      </c>
      <c r="C187" t="s">
        <v>3991</v>
      </c>
      <c r="D187" t="s">
        <v>154</v>
      </c>
      <c r="E187">
        <v>489</v>
      </c>
      <c r="F187" t="b">
        <v>1</v>
      </c>
      <c r="G187" t="str">
        <f>HYPERLINK("https://www.google.com/maps/search/?api=1&amp;query=24.52122093,46.13405041", "View Map")</f>
        <v>View Map</v>
      </c>
    </row>
    <row r="188" spans="1:7" x14ac:dyDescent="0.3">
      <c r="A188" t="s">
        <v>4294</v>
      </c>
      <c r="B188" t="s">
        <v>4295</v>
      </c>
      <c r="C188" t="s">
        <v>4091</v>
      </c>
      <c r="D188" t="s">
        <v>154</v>
      </c>
      <c r="E188">
        <v>486</v>
      </c>
      <c r="F188" t="b">
        <v>1</v>
      </c>
      <c r="G188" t="str">
        <f>HYPERLINK("https://www.google.com/maps/search/?api=1&amp;query=24.48258968,46.05494477", "View Map")</f>
        <v>View Map</v>
      </c>
    </row>
    <row r="189" spans="1:7" x14ac:dyDescent="0.3">
      <c r="A189" t="s">
        <v>182</v>
      </c>
      <c r="B189" t="s">
        <v>4296</v>
      </c>
      <c r="C189" t="s">
        <v>3948</v>
      </c>
      <c r="D189" t="s">
        <v>154</v>
      </c>
      <c r="E189">
        <v>485</v>
      </c>
      <c r="F189" t="b">
        <v>1</v>
      </c>
      <c r="G189" t="str">
        <f>HYPERLINK("https://www.google.com/maps/search/?api=1&amp;query=24.5164214,44.37374979", "View Map")</f>
        <v>View Map</v>
      </c>
    </row>
    <row r="190" spans="1:7" x14ac:dyDescent="0.3">
      <c r="A190" t="s">
        <v>4297</v>
      </c>
      <c r="B190" t="s">
        <v>4298</v>
      </c>
      <c r="C190" t="s">
        <v>3948</v>
      </c>
      <c r="D190" t="s">
        <v>154</v>
      </c>
      <c r="E190">
        <v>485</v>
      </c>
      <c r="F190" t="b">
        <v>1</v>
      </c>
      <c r="G190" t="str">
        <f>HYPERLINK("https://www.google.com/maps/search/?api=1&amp;query=25.07936054,44.61354989", "View Map")</f>
        <v>View Map</v>
      </c>
    </row>
    <row r="191" spans="1:7" x14ac:dyDescent="0.3">
      <c r="A191" t="s">
        <v>2232</v>
      </c>
      <c r="B191" t="s">
        <v>4299</v>
      </c>
      <c r="C191" t="s">
        <v>4091</v>
      </c>
      <c r="D191" t="s">
        <v>154</v>
      </c>
      <c r="E191">
        <v>484</v>
      </c>
      <c r="F191" t="b">
        <v>1</v>
      </c>
      <c r="G191" t="str">
        <f>HYPERLINK("https://www.google.com/maps/search/?api=1&amp;query=24.44146861,46.10846639", "View Map")</f>
        <v>View Map</v>
      </c>
    </row>
    <row r="192" spans="1:7" x14ac:dyDescent="0.3">
      <c r="A192" t="s">
        <v>4300</v>
      </c>
      <c r="B192" t="s">
        <v>4301</v>
      </c>
      <c r="C192" t="s">
        <v>3991</v>
      </c>
      <c r="D192" t="s">
        <v>154</v>
      </c>
      <c r="E192">
        <v>484</v>
      </c>
      <c r="F192" t="b">
        <v>0</v>
      </c>
      <c r="G192" t="str">
        <f>HYPERLINK("https://www.google.com/maps/search/?api=1&amp;query=24.67075057,45.84167794", "View Map")</f>
        <v>View Map</v>
      </c>
    </row>
    <row r="193" spans="1:7" x14ac:dyDescent="0.3">
      <c r="A193" t="s">
        <v>4302</v>
      </c>
      <c r="B193" t="s">
        <v>4303</v>
      </c>
      <c r="C193" t="s">
        <v>4091</v>
      </c>
      <c r="D193" t="s">
        <v>154</v>
      </c>
      <c r="E193">
        <v>481</v>
      </c>
      <c r="F193" t="b">
        <v>1</v>
      </c>
      <c r="G193" t="str">
        <f>HYPERLINK("https://www.google.com/maps/search/?api=1&amp;query=24.45989258,46.29394155", "View Map")</f>
        <v>View Map</v>
      </c>
    </row>
    <row r="194" spans="1:7" x14ac:dyDescent="0.3">
      <c r="A194" t="s">
        <v>4304</v>
      </c>
      <c r="B194" t="s">
        <v>4305</v>
      </c>
      <c r="C194" t="s">
        <v>3951</v>
      </c>
      <c r="D194" t="s">
        <v>154</v>
      </c>
      <c r="E194">
        <v>481</v>
      </c>
      <c r="F194" t="b">
        <v>0</v>
      </c>
      <c r="G194" t="str">
        <f>HYPERLINK("https://www.google.com/maps/search/?api=1&amp;query=23.95047145,45.53092153", "View Map")</f>
        <v>View Map</v>
      </c>
    </row>
    <row r="195" spans="1:7" x14ac:dyDescent="0.3">
      <c r="A195" t="s">
        <v>3980</v>
      </c>
      <c r="B195" t="s">
        <v>4306</v>
      </c>
      <c r="C195" t="s">
        <v>3951</v>
      </c>
      <c r="D195" t="s">
        <v>154</v>
      </c>
      <c r="E195">
        <v>480</v>
      </c>
      <c r="F195" t="b">
        <v>1</v>
      </c>
      <c r="G195" t="str">
        <f>HYPERLINK("https://www.google.com/maps/search/?api=1&amp;query=23.87915895,45.50206764", "View Map")</f>
        <v>View Map</v>
      </c>
    </row>
    <row r="196" spans="1:7" x14ac:dyDescent="0.3">
      <c r="A196" t="s">
        <v>4307</v>
      </c>
      <c r="B196" t="s">
        <v>4308</v>
      </c>
      <c r="C196" t="s">
        <v>3954</v>
      </c>
      <c r="D196" t="s">
        <v>10</v>
      </c>
      <c r="E196">
        <v>475</v>
      </c>
      <c r="F196" t="b">
        <v>0</v>
      </c>
      <c r="G196" t="str">
        <f>HYPERLINK("https://www.google.com/maps/search/?api=1&amp;query=22.76548877,45.26076219", "View Map")</f>
        <v>View Map</v>
      </c>
    </row>
    <row r="197" spans="1:7" x14ac:dyDescent="0.3">
      <c r="A197" t="s">
        <v>3970</v>
      </c>
      <c r="B197" t="s">
        <v>4309</v>
      </c>
      <c r="C197" t="s">
        <v>3948</v>
      </c>
      <c r="D197" t="s">
        <v>154</v>
      </c>
      <c r="E197">
        <v>475</v>
      </c>
      <c r="F197" t="b">
        <v>0</v>
      </c>
      <c r="G197" t="str">
        <f>HYPERLINK("https://www.google.com/maps/search/?api=1&amp;query=24.55147967,44.4183243", "View Map")</f>
        <v>View Map</v>
      </c>
    </row>
    <row r="198" spans="1:7" x14ac:dyDescent="0.3">
      <c r="A198" t="s">
        <v>2232</v>
      </c>
      <c r="B198" t="s">
        <v>4310</v>
      </c>
      <c r="C198" t="s">
        <v>3991</v>
      </c>
      <c r="D198" t="s">
        <v>154</v>
      </c>
      <c r="E198">
        <v>474</v>
      </c>
      <c r="F198" t="b">
        <v>1</v>
      </c>
      <c r="G198" t="str">
        <f>HYPERLINK("https://www.google.com/maps/search/?api=1&amp;query=24.47364713,46.20741669", "View Map")</f>
        <v>View Map</v>
      </c>
    </row>
    <row r="199" spans="1:7" x14ac:dyDescent="0.3">
      <c r="A199" t="s">
        <v>4311</v>
      </c>
      <c r="B199" t="s">
        <v>4312</v>
      </c>
      <c r="C199" t="s">
        <v>3951</v>
      </c>
      <c r="D199" t="s">
        <v>154</v>
      </c>
      <c r="E199">
        <v>470</v>
      </c>
      <c r="F199" t="b">
        <v>1</v>
      </c>
      <c r="G199" t="str">
        <f>HYPERLINK("https://www.google.com/maps/search/?api=1&amp;query=23.45549766,44.28848035", "View Map")</f>
        <v>View Map</v>
      </c>
    </row>
    <row r="200" spans="1:7" x14ac:dyDescent="0.3">
      <c r="A200" t="s">
        <v>4313</v>
      </c>
      <c r="B200" t="s">
        <v>4314</v>
      </c>
      <c r="C200" t="s">
        <v>3948</v>
      </c>
      <c r="D200" t="s">
        <v>154</v>
      </c>
      <c r="E200">
        <v>468</v>
      </c>
      <c r="F200" t="b">
        <v>1</v>
      </c>
      <c r="G200" t="str">
        <f>HYPERLINK("https://www.google.com/maps/search/?api=1&amp;query=24.71006592,44.29490944", "View Map")</f>
        <v>View Map</v>
      </c>
    </row>
    <row r="201" spans="1:7" x14ac:dyDescent="0.3">
      <c r="A201" t="s">
        <v>4315</v>
      </c>
      <c r="B201" t="s">
        <v>4316</v>
      </c>
      <c r="C201" t="s">
        <v>3948</v>
      </c>
      <c r="D201" t="s">
        <v>154</v>
      </c>
      <c r="E201">
        <v>467</v>
      </c>
      <c r="F201" t="b">
        <v>0</v>
      </c>
      <c r="G201" t="str">
        <f>HYPERLINK("https://www.google.com/maps/search/?api=1&amp;query=24.50767407,44.38969435", "View Map")</f>
        <v>View Map</v>
      </c>
    </row>
    <row r="202" spans="1:7" x14ac:dyDescent="0.3">
      <c r="A202" t="s">
        <v>4317</v>
      </c>
      <c r="B202" t="s">
        <v>4318</v>
      </c>
      <c r="C202" t="s">
        <v>3948</v>
      </c>
      <c r="D202" t="s">
        <v>154</v>
      </c>
      <c r="E202">
        <v>467</v>
      </c>
      <c r="F202" t="b">
        <v>1</v>
      </c>
      <c r="G202" t="str">
        <f>HYPERLINK("https://www.google.com/maps/search/?api=1&amp;query=24.53336497,44.27820182", "View Map")</f>
        <v>View Map</v>
      </c>
    </row>
    <row r="203" spans="1:7" x14ac:dyDescent="0.3">
      <c r="A203" t="s">
        <v>4319</v>
      </c>
      <c r="B203" t="s">
        <v>4320</v>
      </c>
      <c r="C203" t="s">
        <v>4091</v>
      </c>
      <c r="D203" t="s">
        <v>154</v>
      </c>
      <c r="E203">
        <v>466</v>
      </c>
      <c r="F203" t="b">
        <v>1</v>
      </c>
      <c r="G203" t="str">
        <f>HYPERLINK("https://www.google.com/maps/search/?api=1&amp;query=24.45541891,46.29122671", "View Map")</f>
        <v>View Map</v>
      </c>
    </row>
    <row r="204" spans="1:7" x14ac:dyDescent="0.3">
      <c r="A204" t="s">
        <v>3970</v>
      </c>
      <c r="B204" t="s">
        <v>4321</v>
      </c>
      <c r="C204" t="s">
        <v>3948</v>
      </c>
      <c r="D204" t="s">
        <v>154</v>
      </c>
      <c r="E204">
        <v>463</v>
      </c>
      <c r="F204" t="b">
        <v>0</v>
      </c>
      <c r="G204" t="str">
        <f>HYPERLINK("https://www.google.com/maps/search/?api=1&amp;query=24.51008893,44.37858975", "View Map")</f>
        <v>View Map</v>
      </c>
    </row>
    <row r="205" spans="1:7" x14ac:dyDescent="0.3">
      <c r="A205" t="s">
        <v>4322</v>
      </c>
      <c r="B205" t="s">
        <v>4323</v>
      </c>
      <c r="C205" t="s">
        <v>4102</v>
      </c>
      <c r="D205" t="s">
        <v>154</v>
      </c>
      <c r="E205">
        <v>461</v>
      </c>
      <c r="F205" t="b">
        <v>0</v>
      </c>
      <c r="G205" t="str">
        <f>HYPERLINK("https://www.google.com/maps/search/?api=1&amp;query=23.92746777,42.91571749", "View Map")</f>
        <v>View Map</v>
      </c>
    </row>
    <row r="206" spans="1:7" x14ac:dyDescent="0.3">
      <c r="A206" t="s">
        <v>4324</v>
      </c>
      <c r="B206" t="s">
        <v>4325</v>
      </c>
      <c r="C206" t="s">
        <v>3951</v>
      </c>
      <c r="D206" t="s">
        <v>154</v>
      </c>
      <c r="E206">
        <v>458</v>
      </c>
      <c r="F206" t="b">
        <v>1</v>
      </c>
      <c r="G206" t="str">
        <f>HYPERLINK("https://www.google.com/maps/search/?api=1&amp;query=23.66352275,44.72388227", "View Map")</f>
        <v>View Map</v>
      </c>
    </row>
    <row r="207" spans="1:7" x14ac:dyDescent="0.3">
      <c r="A207" t="s">
        <v>4326</v>
      </c>
      <c r="B207" t="s">
        <v>4327</v>
      </c>
      <c r="C207" t="s">
        <v>3948</v>
      </c>
      <c r="D207" t="s">
        <v>154</v>
      </c>
      <c r="E207">
        <v>458</v>
      </c>
      <c r="F207" t="b">
        <v>1</v>
      </c>
      <c r="G207" t="str">
        <f>HYPERLINK("https://www.google.com/maps/search/?api=1&amp;query=25.18153362,44.59708181", "View Map")</f>
        <v>View Map</v>
      </c>
    </row>
    <row r="208" spans="1:7" x14ac:dyDescent="0.3">
      <c r="A208" t="s">
        <v>4328</v>
      </c>
      <c r="B208" t="s">
        <v>4329</v>
      </c>
      <c r="C208" t="s">
        <v>3951</v>
      </c>
      <c r="D208" t="s">
        <v>154</v>
      </c>
      <c r="E208">
        <v>456</v>
      </c>
      <c r="F208" t="b">
        <v>1</v>
      </c>
      <c r="G208" t="str">
        <f>HYPERLINK("https://www.google.com/maps/search/?api=1&amp;query=24.06659416,45.30539948", "View Map")</f>
        <v>View Map</v>
      </c>
    </row>
    <row r="209" spans="1:7" x14ac:dyDescent="0.3">
      <c r="A209" t="s">
        <v>4330</v>
      </c>
      <c r="B209" t="s">
        <v>4331</v>
      </c>
      <c r="C209" t="s">
        <v>3948</v>
      </c>
      <c r="D209" t="s">
        <v>154</v>
      </c>
      <c r="E209">
        <v>456</v>
      </c>
      <c r="F209" t="b">
        <v>1</v>
      </c>
      <c r="G209" t="str">
        <f>HYPERLINK("https://www.google.com/maps/search/?api=1&amp;query=25.22479899,44.27508962", "View Map")</f>
        <v>View Map</v>
      </c>
    </row>
    <row r="210" spans="1:7" x14ac:dyDescent="0.3">
      <c r="A210" t="s">
        <v>4332</v>
      </c>
      <c r="B210" t="s">
        <v>4333</v>
      </c>
      <c r="C210" t="s">
        <v>3948</v>
      </c>
      <c r="D210" t="s">
        <v>154</v>
      </c>
      <c r="E210">
        <v>455</v>
      </c>
      <c r="F210" t="b">
        <v>0</v>
      </c>
      <c r="G210" t="str">
        <f>HYPERLINK("https://www.google.com/maps/search/?api=1&amp;query=24.51098533,43.58424111", "View Map")</f>
        <v>View Map</v>
      </c>
    </row>
    <row r="211" spans="1:7" x14ac:dyDescent="0.3">
      <c r="A211" t="s">
        <v>4334</v>
      </c>
      <c r="B211" t="s">
        <v>4335</v>
      </c>
      <c r="C211" t="s">
        <v>3954</v>
      </c>
      <c r="D211" t="s">
        <v>154</v>
      </c>
      <c r="E211">
        <v>455</v>
      </c>
      <c r="F211" t="b">
        <v>1</v>
      </c>
      <c r="G211" t="str">
        <f>HYPERLINK("https://www.google.com/maps/search/?api=1&amp;query=22.7913333,45.0354997", "View Map")</f>
        <v>View Map</v>
      </c>
    </row>
    <row r="212" spans="1:7" x14ac:dyDescent="0.3">
      <c r="A212" t="s">
        <v>4336</v>
      </c>
      <c r="B212" t="s">
        <v>4337</v>
      </c>
      <c r="C212" t="s">
        <v>4091</v>
      </c>
      <c r="D212" t="s">
        <v>154</v>
      </c>
      <c r="E212">
        <v>454</v>
      </c>
      <c r="F212" t="b">
        <v>1</v>
      </c>
      <c r="G212" t="str">
        <f>HYPERLINK("https://www.google.com/maps/search/?api=1&amp;query=24.36809771,46.43821997", "View Map")</f>
        <v>View Map</v>
      </c>
    </row>
    <row r="213" spans="1:7" x14ac:dyDescent="0.3">
      <c r="A213" t="s">
        <v>4338</v>
      </c>
      <c r="B213" t="s">
        <v>4339</v>
      </c>
      <c r="C213" t="s">
        <v>3948</v>
      </c>
      <c r="D213" t="s">
        <v>154</v>
      </c>
      <c r="E213">
        <v>453</v>
      </c>
      <c r="F213" t="b">
        <v>1</v>
      </c>
      <c r="G213" t="str">
        <f>HYPERLINK("https://www.google.com/maps/search/?api=1&amp;query=25.28375449,44.56906662", "View Map")</f>
        <v>View Map</v>
      </c>
    </row>
    <row r="214" spans="1:7" x14ac:dyDescent="0.3">
      <c r="A214" t="s">
        <v>182</v>
      </c>
      <c r="B214" t="s">
        <v>4340</v>
      </c>
      <c r="C214" t="s">
        <v>3948</v>
      </c>
      <c r="D214" t="s">
        <v>154</v>
      </c>
      <c r="E214">
        <v>453</v>
      </c>
      <c r="F214" t="b">
        <v>1</v>
      </c>
      <c r="G214" t="str">
        <f>HYPERLINK("https://www.google.com/maps/search/?api=1&amp;query=24.5272251,44.39335204", "View Map")</f>
        <v>View Map</v>
      </c>
    </row>
    <row r="215" spans="1:7" x14ac:dyDescent="0.3">
      <c r="A215" t="s">
        <v>4341</v>
      </c>
      <c r="B215" t="s">
        <v>4342</v>
      </c>
      <c r="C215" t="s">
        <v>4091</v>
      </c>
      <c r="D215" t="s">
        <v>154</v>
      </c>
      <c r="E215">
        <v>449</v>
      </c>
      <c r="F215" t="b">
        <v>1</v>
      </c>
      <c r="G215" t="str">
        <f>HYPERLINK("https://www.google.com/maps/search/?api=1&amp;query=24.43083316,45.98640449", "View Map")</f>
        <v>View Map</v>
      </c>
    </row>
    <row r="216" spans="1:7" x14ac:dyDescent="0.3">
      <c r="A216" t="s">
        <v>4343</v>
      </c>
      <c r="B216" t="s">
        <v>4344</v>
      </c>
      <c r="C216" t="s">
        <v>3951</v>
      </c>
      <c r="D216" t="s">
        <v>154</v>
      </c>
      <c r="E216">
        <v>448</v>
      </c>
      <c r="F216" t="b">
        <v>1</v>
      </c>
      <c r="G216" t="str">
        <f>HYPERLINK("https://www.google.com/maps/search/?api=1&amp;query=23.47946687,44.37419879", "View Map")</f>
        <v>View Map</v>
      </c>
    </row>
    <row r="217" spans="1:7" x14ac:dyDescent="0.3">
      <c r="A217" t="s">
        <v>4345</v>
      </c>
      <c r="B217" t="s">
        <v>4346</v>
      </c>
      <c r="C217" t="s">
        <v>3948</v>
      </c>
      <c r="D217" t="s">
        <v>154</v>
      </c>
      <c r="E217">
        <v>448</v>
      </c>
      <c r="F217" t="b">
        <v>1</v>
      </c>
      <c r="G217" t="str">
        <f>HYPERLINK("https://www.google.com/maps/search/?api=1&amp;query=24.27338534,44.18764969", "View Map")</f>
        <v>View Map</v>
      </c>
    </row>
    <row r="218" spans="1:7" x14ac:dyDescent="0.3">
      <c r="A218" t="s">
        <v>4347</v>
      </c>
      <c r="B218" t="s">
        <v>4348</v>
      </c>
      <c r="C218" t="s">
        <v>3951</v>
      </c>
      <c r="D218" t="s">
        <v>154</v>
      </c>
      <c r="E218">
        <v>446</v>
      </c>
      <c r="F218" t="b">
        <v>1</v>
      </c>
      <c r="G218" t="str">
        <f>HYPERLINK("https://www.google.com/maps/search/?api=1&amp;query=24.07827295,45.28418758", "View Map")</f>
        <v>View Map</v>
      </c>
    </row>
    <row r="219" spans="1:7" x14ac:dyDescent="0.3">
      <c r="A219" t="s">
        <v>4349</v>
      </c>
      <c r="B219" t="s">
        <v>4350</v>
      </c>
      <c r="C219" t="s">
        <v>3951</v>
      </c>
      <c r="D219" t="s">
        <v>154</v>
      </c>
      <c r="E219">
        <v>445</v>
      </c>
      <c r="F219" t="b">
        <v>1</v>
      </c>
      <c r="G219" t="str">
        <f>HYPERLINK("https://www.google.com/maps/search/?api=1&amp;query=24.10969803,45.4951596", "View Map")</f>
        <v>View Map</v>
      </c>
    </row>
    <row r="220" spans="1:7" x14ac:dyDescent="0.3">
      <c r="A220" t="s">
        <v>3974</v>
      </c>
      <c r="B220" t="s">
        <v>4351</v>
      </c>
      <c r="C220" t="s">
        <v>3948</v>
      </c>
      <c r="D220" t="s">
        <v>154</v>
      </c>
      <c r="E220">
        <v>444</v>
      </c>
      <c r="F220" t="b">
        <v>1</v>
      </c>
      <c r="G220" t="str">
        <f>HYPERLINK("https://www.google.com/maps/search/?api=1&amp;query=24.57128333,43.62901", "View Map")</f>
        <v>View Map</v>
      </c>
    </row>
    <row r="221" spans="1:7" x14ac:dyDescent="0.3">
      <c r="A221" t="s">
        <v>4352</v>
      </c>
      <c r="B221" t="s">
        <v>4353</v>
      </c>
      <c r="C221" t="s">
        <v>3951</v>
      </c>
      <c r="D221" t="s">
        <v>154</v>
      </c>
      <c r="E221">
        <v>442</v>
      </c>
      <c r="F221" t="b">
        <v>1</v>
      </c>
      <c r="G221" t="str">
        <f>HYPERLINK("https://www.google.com/maps/search/?api=1&amp;query=24.55576503,45.68443363", "View Map")</f>
        <v>View Map</v>
      </c>
    </row>
    <row r="222" spans="1:7" x14ac:dyDescent="0.3">
      <c r="A222" t="s">
        <v>4354</v>
      </c>
      <c r="B222" t="s">
        <v>4355</v>
      </c>
      <c r="C222" t="s">
        <v>3991</v>
      </c>
      <c r="D222" t="s">
        <v>154</v>
      </c>
      <c r="E222">
        <v>441</v>
      </c>
      <c r="F222" t="b">
        <v>1</v>
      </c>
      <c r="G222" t="str">
        <f>HYPERLINK("https://www.google.com/maps/search/?api=1&amp;query=24.49360153,46.1677013", "View Map")</f>
        <v>View Map</v>
      </c>
    </row>
    <row r="223" spans="1:7" x14ac:dyDescent="0.3">
      <c r="A223" t="s">
        <v>4356</v>
      </c>
      <c r="B223" t="s">
        <v>4357</v>
      </c>
      <c r="C223" t="s">
        <v>3951</v>
      </c>
      <c r="D223" t="s">
        <v>154</v>
      </c>
      <c r="E223">
        <v>441</v>
      </c>
      <c r="F223" t="b">
        <v>1</v>
      </c>
      <c r="G223" t="str">
        <f>HYPERLINK("https://www.google.com/maps/search/?api=1&amp;query=23.53125073,44.44424597", "View Map")</f>
        <v>View Map</v>
      </c>
    </row>
    <row r="224" spans="1:7" x14ac:dyDescent="0.3">
      <c r="A224" t="s">
        <v>4358</v>
      </c>
      <c r="B224" t="s">
        <v>4359</v>
      </c>
      <c r="C224" t="s">
        <v>3951</v>
      </c>
      <c r="D224" t="s">
        <v>154</v>
      </c>
      <c r="E224">
        <v>441</v>
      </c>
      <c r="F224" t="b">
        <v>1</v>
      </c>
      <c r="G224" t="str">
        <f>HYPERLINK("https://www.google.com/maps/search/?api=1&amp;query=24.06957216,45.29535756", "View Map")</f>
        <v>View Map</v>
      </c>
    </row>
    <row r="225" spans="1:7" x14ac:dyDescent="0.3">
      <c r="A225" t="s">
        <v>4360</v>
      </c>
      <c r="B225" t="s">
        <v>4361</v>
      </c>
      <c r="C225" t="s">
        <v>3948</v>
      </c>
      <c r="D225" t="s">
        <v>154</v>
      </c>
      <c r="E225">
        <v>440</v>
      </c>
      <c r="F225" t="b">
        <v>0</v>
      </c>
      <c r="G225" t="str">
        <f>HYPERLINK("https://www.google.com/maps/search/?api=1&amp;query=25.18254525,44.59509478", "View Map")</f>
        <v>View Map</v>
      </c>
    </row>
    <row r="226" spans="1:7" x14ac:dyDescent="0.3">
      <c r="A226" t="s">
        <v>4362</v>
      </c>
      <c r="B226" t="s">
        <v>4363</v>
      </c>
      <c r="C226" t="s">
        <v>3948</v>
      </c>
      <c r="D226" t="s">
        <v>154</v>
      </c>
      <c r="E226">
        <v>438</v>
      </c>
      <c r="F226" t="b">
        <v>0</v>
      </c>
      <c r="G226" t="str">
        <f>HYPERLINK("https://www.google.com/maps/search/?api=1&amp;query=25.06583061,44.70447139", "View Map")</f>
        <v>View Map</v>
      </c>
    </row>
    <row r="227" spans="1:7" x14ac:dyDescent="0.3">
      <c r="A227" t="s">
        <v>4364</v>
      </c>
      <c r="B227" t="s">
        <v>4365</v>
      </c>
      <c r="C227" t="s">
        <v>3948</v>
      </c>
      <c r="D227" t="s">
        <v>154</v>
      </c>
      <c r="E227">
        <v>438</v>
      </c>
      <c r="F227" t="b">
        <v>1</v>
      </c>
      <c r="G227" t="str">
        <f>HYPERLINK("https://www.google.com/maps/search/?api=1&amp;query=24.70557921,44.89272263", "View Map")</f>
        <v>View Map</v>
      </c>
    </row>
    <row r="228" spans="1:7" x14ac:dyDescent="0.3">
      <c r="A228" t="s">
        <v>4096</v>
      </c>
      <c r="B228" t="s">
        <v>4366</v>
      </c>
      <c r="C228" t="s">
        <v>3948</v>
      </c>
      <c r="D228" t="s">
        <v>154</v>
      </c>
      <c r="E228">
        <v>436</v>
      </c>
      <c r="F228" t="b">
        <v>1</v>
      </c>
      <c r="G228" t="str">
        <f>HYPERLINK("https://www.google.com/maps/search/?api=1&amp;query=25.37763757,44.44068938", "View Map")</f>
        <v>View Map</v>
      </c>
    </row>
    <row r="229" spans="1:7" x14ac:dyDescent="0.3">
      <c r="A229" t="s">
        <v>4367</v>
      </c>
      <c r="B229" t="s">
        <v>4368</v>
      </c>
      <c r="C229" t="s">
        <v>3948</v>
      </c>
      <c r="D229" t="s">
        <v>154</v>
      </c>
      <c r="E229">
        <v>436</v>
      </c>
      <c r="F229" t="b">
        <v>0</v>
      </c>
      <c r="G229" t="str">
        <f>HYPERLINK("https://www.google.com/maps/search/?api=1&amp;query=24.71113567,43.53851981", "View Map")</f>
        <v>View Map</v>
      </c>
    </row>
    <row r="230" spans="1:7" x14ac:dyDescent="0.3">
      <c r="A230" t="s">
        <v>4369</v>
      </c>
      <c r="B230" t="s">
        <v>4370</v>
      </c>
      <c r="C230" t="s">
        <v>3954</v>
      </c>
      <c r="D230" t="s">
        <v>1715</v>
      </c>
      <c r="E230">
        <v>435</v>
      </c>
      <c r="F230" t="b">
        <v>1</v>
      </c>
      <c r="G230" t="str">
        <f>HYPERLINK("https://www.google.com/maps/search/?api=1&amp;query=23.24768865,45.56059288", "View Map")</f>
        <v>View Map</v>
      </c>
    </row>
    <row r="231" spans="1:7" x14ac:dyDescent="0.3">
      <c r="A231" t="s">
        <v>4371</v>
      </c>
      <c r="B231" t="s">
        <v>4372</v>
      </c>
      <c r="C231" t="s">
        <v>3951</v>
      </c>
      <c r="D231" t="s">
        <v>154</v>
      </c>
      <c r="E231">
        <v>434</v>
      </c>
      <c r="F231" t="b">
        <v>1</v>
      </c>
      <c r="G231" t="str">
        <f>HYPERLINK("https://www.google.com/maps/search/?api=1&amp;query=24.26456449,45.07546099", "View Map")</f>
        <v>View Map</v>
      </c>
    </row>
    <row r="232" spans="1:7" x14ac:dyDescent="0.3">
      <c r="A232" t="s">
        <v>3970</v>
      </c>
      <c r="B232" t="s">
        <v>4373</v>
      </c>
      <c r="C232" t="s">
        <v>3948</v>
      </c>
      <c r="D232" t="s">
        <v>154</v>
      </c>
      <c r="E232">
        <v>433</v>
      </c>
      <c r="F232" t="b">
        <v>0</v>
      </c>
      <c r="G232" t="str">
        <f>HYPERLINK("https://www.google.com/maps/search/?api=1&amp;query=24.51175657,44.37008994", "View Map")</f>
        <v>View Map</v>
      </c>
    </row>
    <row r="233" spans="1:7" x14ac:dyDescent="0.3">
      <c r="A233" t="s">
        <v>3970</v>
      </c>
      <c r="B233" t="s">
        <v>4374</v>
      </c>
      <c r="C233" t="s">
        <v>3948</v>
      </c>
      <c r="D233" t="s">
        <v>154</v>
      </c>
      <c r="E233">
        <v>432</v>
      </c>
      <c r="F233" t="b">
        <v>0</v>
      </c>
      <c r="G233" t="str">
        <f>HYPERLINK("https://www.google.com/maps/search/?api=1&amp;query=24.49622435,44.39012087", "View Map")</f>
        <v>View Map</v>
      </c>
    </row>
    <row r="234" spans="1:7" x14ac:dyDescent="0.3">
      <c r="A234" t="s">
        <v>4375</v>
      </c>
      <c r="B234" t="s">
        <v>4376</v>
      </c>
      <c r="C234" t="s">
        <v>3948</v>
      </c>
      <c r="D234" t="s">
        <v>154</v>
      </c>
      <c r="E234">
        <v>432</v>
      </c>
      <c r="F234" t="b">
        <v>0</v>
      </c>
      <c r="G234" t="str">
        <f>HYPERLINK("https://www.google.com/maps/search/?api=1&amp;query=24.50411814,44.38641719", "View Map")</f>
        <v>View Map</v>
      </c>
    </row>
    <row r="235" spans="1:7" x14ac:dyDescent="0.3">
      <c r="A235" t="s">
        <v>4377</v>
      </c>
      <c r="B235" t="s">
        <v>4378</v>
      </c>
      <c r="C235" t="s">
        <v>3948</v>
      </c>
      <c r="D235" t="s">
        <v>154</v>
      </c>
      <c r="E235">
        <v>430</v>
      </c>
      <c r="F235" t="b">
        <v>0</v>
      </c>
      <c r="G235" t="str">
        <f>HYPERLINK("https://www.google.com/maps/search/?api=1&amp;query=24.52357615,43.90147172", "View Map")</f>
        <v>View Map</v>
      </c>
    </row>
    <row r="236" spans="1:7" x14ac:dyDescent="0.3">
      <c r="A236" t="s">
        <v>4379</v>
      </c>
      <c r="B236" t="s">
        <v>4380</v>
      </c>
      <c r="C236" t="s">
        <v>4091</v>
      </c>
      <c r="D236" t="s">
        <v>154</v>
      </c>
      <c r="E236">
        <v>428</v>
      </c>
      <c r="F236" t="b">
        <v>1</v>
      </c>
      <c r="G236" t="str">
        <f>HYPERLINK("https://www.google.com/maps/search/?api=1&amp;query=24.18304618,46.3629681", "View Map")</f>
        <v>View Map</v>
      </c>
    </row>
    <row r="237" spans="1:7" x14ac:dyDescent="0.3">
      <c r="A237" t="s">
        <v>4381</v>
      </c>
      <c r="B237" t="s">
        <v>4382</v>
      </c>
      <c r="C237" t="s">
        <v>3948</v>
      </c>
      <c r="D237" t="s">
        <v>154</v>
      </c>
      <c r="E237">
        <v>427</v>
      </c>
      <c r="F237" t="b">
        <v>1</v>
      </c>
      <c r="G237" t="str">
        <f>HYPERLINK("https://www.google.com/maps/search/?api=1&amp;query=24.7369979,44.2965343", "View Map")</f>
        <v>View Map</v>
      </c>
    </row>
    <row r="238" spans="1:7" x14ac:dyDescent="0.3">
      <c r="A238" t="s">
        <v>4383</v>
      </c>
      <c r="B238" t="s">
        <v>4384</v>
      </c>
      <c r="C238" t="s">
        <v>3948</v>
      </c>
      <c r="D238" t="s">
        <v>154</v>
      </c>
      <c r="E238">
        <v>426</v>
      </c>
      <c r="F238" t="b">
        <v>0</v>
      </c>
      <c r="G238" t="str">
        <f>HYPERLINK("https://www.google.com/maps/search/?api=1&amp;query=25.18845328,44.5985232", "View Map")</f>
        <v>View Map</v>
      </c>
    </row>
    <row r="239" spans="1:7" x14ac:dyDescent="0.3">
      <c r="A239" t="s">
        <v>4385</v>
      </c>
      <c r="B239" t="s">
        <v>4386</v>
      </c>
      <c r="C239" t="s">
        <v>4102</v>
      </c>
      <c r="D239" t="s">
        <v>154</v>
      </c>
      <c r="E239">
        <v>426</v>
      </c>
      <c r="F239" t="b">
        <v>0</v>
      </c>
      <c r="G239" t="str">
        <f>HYPERLINK("https://www.google.com/maps/search/?api=1&amp;query=23.90830444,42.91740264", "View Map")</f>
        <v>View Map</v>
      </c>
    </row>
    <row r="240" spans="1:7" x14ac:dyDescent="0.3">
      <c r="A240" t="s">
        <v>4387</v>
      </c>
      <c r="B240" t="s">
        <v>4388</v>
      </c>
      <c r="C240" t="s">
        <v>3991</v>
      </c>
      <c r="D240" t="s">
        <v>154</v>
      </c>
      <c r="E240">
        <v>425</v>
      </c>
      <c r="F240" t="b">
        <v>1</v>
      </c>
      <c r="G240" t="str">
        <f>HYPERLINK("https://www.google.com/maps/search/?api=1&amp;query=24.59621794,46.12841797", "View Map")</f>
        <v>View Map</v>
      </c>
    </row>
    <row r="241" spans="1:7" x14ac:dyDescent="0.3">
      <c r="A241" t="s">
        <v>4389</v>
      </c>
      <c r="B241" t="s">
        <v>4390</v>
      </c>
      <c r="C241" t="s">
        <v>3948</v>
      </c>
      <c r="D241" t="s">
        <v>154</v>
      </c>
      <c r="E241">
        <v>425</v>
      </c>
      <c r="F241" t="b">
        <v>0</v>
      </c>
      <c r="G241" t="str">
        <f>HYPERLINK("https://www.google.com/maps/search/?api=1&amp;query=24.72163985,43.8044872", "View Map")</f>
        <v>View Map</v>
      </c>
    </row>
    <row r="242" spans="1:7" x14ac:dyDescent="0.3">
      <c r="A242" t="s">
        <v>4391</v>
      </c>
      <c r="B242" t="s">
        <v>4392</v>
      </c>
      <c r="C242" t="s">
        <v>3951</v>
      </c>
      <c r="D242" t="s">
        <v>154</v>
      </c>
      <c r="E242">
        <v>425</v>
      </c>
      <c r="F242" t="b">
        <v>0</v>
      </c>
      <c r="G242" t="str">
        <f>HYPERLINK("https://www.google.com/maps/search/?api=1&amp;query=23.67905012,44.87950586", "View Map")</f>
        <v>View Map</v>
      </c>
    </row>
    <row r="243" spans="1:7" x14ac:dyDescent="0.3">
      <c r="A243" t="s">
        <v>4393</v>
      </c>
      <c r="B243" t="s">
        <v>4394</v>
      </c>
      <c r="C243" t="s">
        <v>3948</v>
      </c>
      <c r="D243" t="s">
        <v>154</v>
      </c>
      <c r="E243">
        <v>424</v>
      </c>
      <c r="F243" t="b">
        <v>1</v>
      </c>
      <c r="G243" t="str">
        <f>HYPERLINK("https://www.google.com/maps/search/?api=1&amp;query=24.57199663,43.73799649", "View Map")</f>
        <v>View Map</v>
      </c>
    </row>
    <row r="244" spans="1:7" x14ac:dyDescent="0.3">
      <c r="A244" t="s">
        <v>4395</v>
      </c>
      <c r="B244" t="s">
        <v>4396</v>
      </c>
      <c r="C244" t="s">
        <v>3951</v>
      </c>
      <c r="D244" t="s">
        <v>154</v>
      </c>
      <c r="E244">
        <v>424</v>
      </c>
      <c r="F244" t="b">
        <v>0</v>
      </c>
      <c r="G244" t="str">
        <f>HYPERLINK("https://www.google.com/maps/search/?api=1&amp;query=24.04849356,45.2583506", "View Map")</f>
        <v>View Map</v>
      </c>
    </row>
    <row r="245" spans="1:7" x14ac:dyDescent="0.3">
      <c r="A245" t="s">
        <v>4397</v>
      </c>
      <c r="B245" t="s">
        <v>4398</v>
      </c>
      <c r="C245" t="s">
        <v>3951</v>
      </c>
      <c r="D245" t="s">
        <v>154</v>
      </c>
      <c r="E245">
        <v>424</v>
      </c>
      <c r="F245" t="b">
        <v>1</v>
      </c>
      <c r="G245" t="str">
        <f>HYPERLINK("https://www.google.com/maps/search/?api=1&amp;query=24.01020428,45.19748755", "View Map")</f>
        <v>View Map</v>
      </c>
    </row>
    <row r="246" spans="1:7" x14ac:dyDescent="0.3">
      <c r="A246" t="s">
        <v>4399</v>
      </c>
      <c r="B246" t="s">
        <v>4400</v>
      </c>
      <c r="C246" t="s">
        <v>3948</v>
      </c>
      <c r="D246" t="s">
        <v>154</v>
      </c>
      <c r="E246">
        <v>424</v>
      </c>
      <c r="F246" t="b">
        <v>0</v>
      </c>
      <c r="G246" t="str">
        <f>HYPERLINK("https://www.google.com/maps/search/?api=1&amp;query=25.01773536,43.81648977", "View Map")</f>
        <v>View Map</v>
      </c>
    </row>
    <row r="247" spans="1:7" x14ac:dyDescent="0.3">
      <c r="A247" t="s">
        <v>3970</v>
      </c>
      <c r="B247" t="s">
        <v>4401</v>
      </c>
      <c r="C247" t="s">
        <v>3948</v>
      </c>
      <c r="D247" t="s">
        <v>154</v>
      </c>
      <c r="E247">
        <v>422</v>
      </c>
      <c r="F247" t="b">
        <v>1</v>
      </c>
      <c r="G247" t="str">
        <f>HYPERLINK("https://www.google.com/maps/search/?api=1&amp;query=24.70065778,44.29033148", "View Map")</f>
        <v>View Map</v>
      </c>
    </row>
    <row r="248" spans="1:7" x14ac:dyDescent="0.3">
      <c r="A248" t="s">
        <v>4402</v>
      </c>
      <c r="B248" t="s">
        <v>4403</v>
      </c>
      <c r="C248" t="s">
        <v>3951</v>
      </c>
      <c r="D248" t="s">
        <v>154</v>
      </c>
      <c r="E248">
        <v>422</v>
      </c>
      <c r="F248" t="b">
        <v>1</v>
      </c>
      <c r="G248" t="str">
        <f>HYPERLINK("https://www.google.com/maps/search/?api=1&amp;query=24.00711148,45.19665975", "View Map")</f>
        <v>View Map</v>
      </c>
    </row>
    <row r="249" spans="1:7" x14ac:dyDescent="0.3">
      <c r="A249" t="s">
        <v>4404</v>
      </c>
      <c r="B249" t="s">
        <v>4405</v>
      </c>
      <c r="C249" t="s">
        <v>3948</v>
      </c>
      <c r="D249" t="s">
        <v>154</v>
      </c>
      <c r="E249">
        <v>421</v>
      </c>
      <c r="F249" t="b">
        <v>1</v>
      </c>
      <c r="G249" t="str">
        <f>HYPERLINK("https://www.google.com/maps/search/?api=1&amp;query=25.35644537,44.55655466", "View Map")</f>
        <v>View Map</v>
      </c>
    </row>
    <row r="250" spans="1:7" x14ac:dyDescent="0.3">
      <c r="A250" t="s">
        <v>4406</v>
      </c>
      <c r="B250" t="s">
        <v>4407</v>
      </c>
      <c r="C250" t="s">
        <v>3954</v>
      </c>
      <c r="D250" t="s">
        <v>154</v>
      </c>
      <c r="E250">
        <v>420</v>
      </c>
      <c r="F250" t="b">
        <v>1</v>
      </c>
      <c r="G250" t="str">
        <f>HYPERLINK("https://www.google.com/maps/search/?api=1&amp;query=23.44532713,45.20438392", "View Map")</f>
        <v>View Map</v>
      </c>
    </row>
    <row r="251" spans="1:7" x14ac:dyDescent="0.3">
      <c r="A251" t="s">
        <v>4164</v>
      </c>
      <c r="B251" t="s">
        <v>4408</v>
      </c>
      <c r="C251" t="s">
        <v>4102</v>
      </c>
      <c r="D251" t="s">
        <v>154</v>
      </c>
      <c r="E251">
        <v>420</v>
      </c>
      <c r="F251" t="b">
        <v>1</v>
      </c>
      <c r="G251" t="str">
        <f>HYPERLINK("https://www.google.com/maps/search/?api=1&amp;query=23.91826117,42.93859601", "View Map")</f>
        <v>View Map</v>
      </c>
    </row>
    <row r="252" spans="1:7" x14ac:dyDescent="0.3">
      <c r="A252" t="s">
        <v>4409</v>
      </c>
      <c r="B252" t="s">
        <v>4410</v>
      </c>
      <c r="C252" t="s">
        <v>3948</v>
      </c>
      <c r="D252" t="s">
        <v>154</v>
      </c>
      <c r="E252">
        <v>420</v>
      </c>
      <c r="F252" t="b">
        <v>0</v>
      </c>
      <c r="G252" t="str">
        <f>HYPERLINK("https://www.google.com/maps/search/?api=1&amp;query=24.54990565,44.42499683", "View Map")</f>
        <v>View Map</v>
      </c>
    </row>
    <row r="253" spans="1:7" x14ac:dyDescent="0.3">
      <c r="A253" t="s">
        <v>4411</v>
      </c>
      <c r="B253" t="s">
        <v>4412</v>
      </c>
      <c r="C253" t="s">
        <v>3948</v>
      </c>
      <c r="D253" t="s">
        <v>154</v>
      </c>
      <c r="E253">
        <v>418</v>
      </c>
      <c r="F253" t="b">
        <v>0</v>
      </c>
      <c r="G253" t="str">
        <f>HYPERLINK("https://www.google.com/maps/search/?api=1&amp;query=23.90913394,44.6342597", "View Map")</f>
        <v>View Map</v>
      </c>
    </row>
    <row r="254" spans="1:7" x14ac:dyDescent="0.3">
      <c r="A254" t="s">
        <v>4413</v>
      </c>
      <c r="B254" t="s">
        <v>4414</v>
      </c>
      <c r="C254" t="s">
        <v>3948</v>
      </c>
      <c r="D254" t="s">
        <v>154</v>
      </c>
      <c r="E254">
        <v>418</v>
      </c>
      <c r="F254" t="b">
        <v>0</v>
      </c>
      <c r="G254" t="str">
        <f>HYPERLINK("https://www.google.com/maps/search/?api=1&amp;query=25.17293789,43.48086634", "View Map")</f>
        <v>View Map</v>
      </c>
    </row>
    <row r="255" spans="1:7" x14ac:dyDescent="0.3">
      <c r="A255" t="s">
        <v>4415</v>
      </c>
      <c r="B255" t="s">
        <v>4416</v>
      </c>
      <c r="C255" t="s">
        <v>4091</v>
      </c>
      <c r="D255" t="s">
        <v>154</v>
      </c>
      <c r="E255">
        <v>412</v>
      </c>
      <c r="F255" t="b">
        <v>1</v>
      </c>
      <c r="G255" t="str">
        <f>HYPERLINK("https://www.google.com/maps/search/?api=1&amp;query=24.47357178,46.30125989", "View Map")</f>
        <v>View Map</v>
      </c>
    </row>
    <row r="256" spans="1:7" x14ac:dyDescent="0.3">
      <c r="A256" t="s">
        <v>4417</v>
      </c>
      <c r="B256" t="s">
        <v>4418</v>
      </c>
      <c r="C256" t="s">
        <v>3948</v>
      </c>
      <c r="D256" t="s">
        <v>10</v>
      </c>
      <c r="E256">
        <v>410</v>
      </c>
      <c r="F256" t="b">
        <v>0</v>
      </c>
      <c r="G256" t="str">
        <f>HYPERLINK("https://www.google.com/maps/search/?api=1&amp;query=24.71321011,44.30193282", "View Map")</f>
        <v>View Map</v>
      </c>
    </row>
    <row r="257" spans="1:7" x14ac:dyDescent="0.3">
      <c r="A257" t="s">
        <v>4419</v>
      </c>
      <c r="B257" t="s">
        <v>4420</v>
      </c>
      <c r="C257" t="s">
        <v>3991</v>
      </c>
      <c r="D257" t="s">
        <v>154</v>
      </c>
      <c r="E257">
        <v>389</v>
      </c>
      <c r="F257" t="b">
        <v>1</v>
      </c>
      <c r="G257" t="str">
        <f>HYPERLINK("https://www.google.com/maps/search/?api=1&amp;query=24.48880287,46.36998394", "View Map")</f>
        <v>View Map</v>
      </c>
    </row>
    <row r="258" spans="1:7" x14ac:dyDescent="0.3">
      <c r="A258" t="s">
        <v>4421</v>
      </c>
      <c r="B258" t="s">
        <v>4422</v>
      </c>
      <c r="C258" t="s">
        <v>3951</v>
      </c>
      <c r="D258" t="s">
        <v>154</v>
      </c>
      <c r="E258">
        <v>385</v>
      </c>
      <c r="F258" t="b">
        <v>1</v>
      </c>
      <c r="G258" t="str">
        <f>HYPERLINK("https://www.google.com/maps/search/?api=1&amp;query=24.12678662,45.33086767", "View Map")</f>
        <v>View Map</v>
      </c>
    </row>
    <row r="259" spans="1:7" x14ac:dyDescent="0.3">
      <c r="A259" t="s">
        <v>3980</v>
      </c>
      <c r="B259" t="s">
        <v>4423</v>
      </c>
      <c r="C259" t="s">
        <v>3951</v>
      </c>
      <c r="D259" t="s">
        <v>154</v>
      </c>
      <c r="E259">
        <v>368</v>
      </c>
      <c r="F259" t="b">
        <v>1</v>
      </c>
      <c r="G259" t="str">
        <f>HYPERLINK("https://www.google.com/maps/search/?api=1&amp;query=24.07626638,45.30074534", "View Map")</f>
        <v>View Map</v>
      </c>
    </row>
    <row r="260" spans="1:7" x14ac:dyDescent="0.3">
      <c r="A260" t="s">
        <v>4424</v>
      </c>
      <c r="B260" t="s">
        <v>4425</v>
      </c>
      <c r="C260" t="s">
        <v>3948</v>
      </c>
      <c r="D260" t="s">
        <v>154</v>
      </c>
      <c r="E260">
        <v>350</v>
      </c>
      <c r="F260" t="b">
        <v>0</v>
      </c>
      <c r="G260" t="str">
        <f>HYPERLINK("https://www.google.com/maps/search/?api=1&amp;query=24.49734777,44.40767353", "View Map")</f>
        <v>View Map</v>
      </c>
    </row>
    <row r="261" spans="1:7" x14ac:dyDescent="0.3">
      <c r="A261" t="s">
        <v>4096</v>
      </c>
      <c r="B261" t="s">
        <v>4426</v>
      </c>
      <c r="C261" t="s">
        <v>3948</v>
      </c>
      <c r="D261" t="s">
        <v>154</v>
      </c>
      <c r="E261">
        <v>340</v>
      </c>
      <c r="F261" t="b">
        <v>0</v>
      </c>
      <c r="G261" t="str">
        <f>HYPERLINK("https://www.google.com/maps/search/?api=1&amp;query=25.17420934,44.61100612", "View Map")</f>
        <v>View Map</v>
      </c>
    </row>
    <row r="262" spans="1:7" x14ac:dyDescent="0.3">
      <c r="A262" t="s">
        <v>1769</v>
      </c>
      <c r="B262" t="s">
        <v>4427</v>
      </c>
      <c r="C262" t="s">
        <v>3991</v>
      </c>
      <c r="D262" t="s">
        <v>1715</v>
      </c>
      <c r="E262">
        <v>296</v>
      </c>
      <c r="F262" t="b">
        <v>1</v>
      </c>
      <c r="G262" t="str">
        <f>HYPERLINK("https://www.google.com/maps/search/?api=1&amp;query=24.5908024,46.13035834", "View Map")</f>
        <v>View Map</v>
      </c>
    </row>
    <row r="263" spans="1:7" x14ac:dyDescent="0.3">
      <c r="A263" t="s">
        <v>4428</v>
      </c>
      <c r="B263" t="s">
        <v>4429</v>
      </c>
      <c r="C263" t="s">
        <v>3948</v>
      </c>
      <c r="D263" t="s">
        <v>154</v>
      </c>
      <c r="E263">
        <v>284</v>
      </c>
      <c r="F263" t="b">
        <v>1</v>
      </c>
      <c r="G263" t="str">
        <f>HYPERLINK("https://www.google.com/maps/search/?api=1&amp;query=25.17255724,43.47735319", "View Map")</f>
        <v>View Map</v>
      </c>
    </row>
    <row r="264" spans="1:7" x14ac:dyDescent="0.3">
      <c r="A264" t="s">
        <v>4430</v>
      </c>
      <c r="B264" t="s">
        <v>4431</v>
      </c>
      <c r="C264" t="s">
        <v>3948</v>
      </c>
      <c r="D264" t="s">
        <v>154</v>
      </c>
      <c r="E264">
        <v>281</v>
      </c>
      <c r="F264" t="b">
        <v>1</v>
      </c>
      <c r="G264" t="str">
        <f>HYPERLINK("https://www.google.com/maps/search/?api=1&amp;query=25.48557793,44.4026885", "View Map")</f>
        <v>View Map</v>
      </c>
    </row>
    <row r="265" spans="1:7" x14ac:dyDescent="0.3">
      <c r="A265" t="s">
        <v>3970</v>
      </c>
      <c r="B265" t="s">
        <v>4432</v>
      </c>
      <c r="C265" t="s">
        <v>3948</v>
      </c>
      <c r="D265" t="s">
        <v>154</v>
      </c>
      <c r="E265">
        <v>278</v>
      </c>
      <c r="F265" t="b">
        <v>1</v>
      </c>
      <c r="G265" t="str">
        <f>HYPERLINK("https://www.google.com/maps/search/?api=1&amp;query=24.95639376,43.9318159", "View Map")</f>
        <v>View Map</v>
      </c>
    </row>
    <row r="266" spans="1:7" x14ac:dyDescent="0.3">
      <c r="A266" t="s">
        <v>4433</v>
      </c>
      <c r="B266" t="s">
        <v>4434</v>
      </c>
      <c r="C266" t="s">
        <v>4091</v>
      </c>
      <c r="D266" t="s">
        <v>154</v>
      </c>
      <c r="E266">
        <v>267</v>
      </c>
      <c r="F266" t="b">
        <v>0</v>
      </c>
      <c r="G266" t="str">
        <f>HYPERLINK("https://www.google.com/maps/search/?api=1&amp;query=23.99478786,46.11261661", "View Map")</f>
        <v>View Map</v>
      </c>
    </row>
    <row r="267" spans="1:7" x14ac:dyDescent="0.3">
      <c r="A267" t="s">
        <v>4435</v>
      </c>
      <c r="B267" t="s">
        <v>4436</v>
      </c>
      <c r="C267" t="s">
        <v>3954</v>
      </c>
      <c r="D267" t="s">
        <v>154</v>
      </c>
      <c r="E267">
        <v>257</v>
      </c>
      <c r="F267" t="b">
        <v>1</v>
      </c>
      <c r="G267" t="str">
        <f>HYPERLINK("https://www.google.com/maps/search/?api=1&amp;query=22.98002353,45.44134153", "View Map")</f>
        <v>View Map</v>
      </c>
    </row>
    <row r="268" spans="1:7" x14ac:dyDescent="0.3">
      <c r="A268" t="s">
        <v>3970</v>
      </c>
      <c r="B268" t="s">
        <v>4437</v>
      </c>
      <c r="C268" t="s">
        <v>3948</v>
      </c>
      <c r="D268" t="s">
        <v>1715</v>
      </c>
      <c r="E268">
        <v>255</v>
      </c>
      <c r="F268" t="b">
        <v>1</v>
      </c>
      <c r="G268" t="str">
        <f>HYPERLINK("https://www.google.com/maps/search/?api=1&amp;query=24.52590159,44.39200649", "View Map")</f>
        <v>View Map</v>
      </c>
    </row>
    <row r="269" spans="1:7" x14ac:dyDescent="0.3">
      <c r="A269" t="s">
        <v>4438</v>
      </c>
      <c r="B269" t="s">
        <v>4439</v>
      </c>
      <c r="C269" t="s">
        <v>3948</v>
      </c>
      <c r="D269" t="s">
        <v>154</v>
      </c>
      <c r="E269">
        <v>245</v>
      </c>
      <c r="F269" t="b">
        <v>1</v>
      </c>
      <c r="G269" t="str">
        <f>HYPERLINK("https://www.google.com/maps/search/?api=1&amp;query=24.51263962,43.78808037", "View Map")</f>
        <v>View Map</v>
      </c>
    </row>
    <row r="270" spans="1:7" x14ac:dyDescent="0.3">
      <c r="A270" t="s">
        <v>4440</v>
      </c>
      <c r="B270" t="s">
        <v>4441</v>
      </c>
      <c r="C270" t="s">
        <v>3991</v>
      </c>
      <c r="D270" t="s">
        <v>1715</v>
      </c>
      <c r="E270">
        <v>218</v>
      </c>
      <c r="F270" t="b">
        <v>0</v>
      </c>
      <c r="G270" t="str">
        <f>HYPERLINK("https://www.google.com/maps/search/?api=1&amp;query=24.61397403,46.10444194", "View Map")</f>
        <v>View Map</v>
      </c>
    </row>
    <row r="271" spans="1:7" x14ac:dyDescent="0.3">
      <c r="A271" t="s">
        <v>4442</v>
      </c>
      <c r="B271" t="s">
        <v>4443</v>
      </c>
      <c r="C271" t="s">
        <v>3951</v>
      </c>
      <c r="D271" t="s">
        <v>1715</v>
      </c>
      <c r="E271">
        <v>206</v>
      </c>
      <c r="F271" t="b">
        <v>1</v>
      </c>
      <c r="G271" t="str">
        <f>HYPERLINK("https://www.google.com/maps/search/?api=1&amp;query=24.27750544,45.8733683", "View Map")</f>
        <v>View Map</v>
      </c>
    </row>
    <row r="272" spans="1:7" x14ac:dyDescent="0.3">
      <c r="A272" t="s">
        <v>4444</v>
      </c>
      <c r="B272" t="s">
        <v>4445</v>
      </c>
      <c r="C272" t="s">
        <v>3991</v>
      </c>
      <c r="D272" t="s">
        <v>1715</v>
      </c>
      <c r="E272">
        <v>195</v>
      </c>
      <c r="F272" t="b">
        <v>0</v>
      </c>
      <c r="G272" t="str">
        <f>HYPERLINK("https://www.google.com/maps/search/?api=1&amp;query=24.59225114,46.14475156", "View Map")</f>
        <v>View Map</v>
      </c>
    </row>
    <row r="273" spans="1:7" x14ac:dyDescent="0.3">
      <c r="A273" t="s">
        <v>4446</v>
      </c>
      <c r="B273" t="s">
        <v>4447</v>
      </c>
      <c r="C273" t="s">
        <v>3954</v>
      </c>
      <c r="D273" t="s">
        <v>1715</v>
      </c>
      <c r="E273">
        <v>192</v>
      </c>
      <c r="F273" t="b">
        <v>0</v>
      </c>
      <c r="G273" t="str">
        <f>HYPERLINK("https://www.google.com/maps/search/?api=1&amp;query=23.51580428,45.52691055", "View Map")</f>
        <v>View Map</v>
      </c>
    </row>
    <row r="274" spans="1:7" x14ac:dyDescent="0.3">
      <c r="A274" t="s">
        <v>4448</v>
      </c>
      <c r="B274" t="s">
        <v>4449</v>
      </c>
      <c r="C274" t="s">
        <v>3948</v>
      </c>
      <c r="D274" t="s">
        <v>1715</v>
      </c>
      <c r="E274">
        <v>187</v>
      </c>
      <c r="F274" t="b">
        <v>1</v>
      </c>
      <c r="G274" t="str">
        <f>HYPERLINK("https://www.google.com/maps/search/?api=1&amp;query=25.21894221,44.60022488", "View Map")</f>
        <v>View Map</v>
      </c>
    </row>
    <row r="275" spans="1:7" x14ac:dyDescent="0.3">
      <c r="A275" t="s">
        <v>4450</v>
      </c>
      <c r="B275" t="s">
        <v>4451</v>
      </c>
      <c r="C275" t="s">
        <v>3948</v>
      </c>
      <c r="D275" t="s">
        <v>1715</v>
      </c>
      <c r="E275">
        <v>178</v>
      </c>
      <c r="F275" t="b">
        <v>0</v>
      </c>
      <c r="G275" t="str">
        <f>HYPERLINK("https://www.google.com/maps/search/?api=1&amp;query=24.33907538,44.80788009", "View Map")</f>
        <v>View Map</v>
      </c>
    </row>
    <row r="276" spans="1:7" x14ac:dyDescent="0.3">
      <c r="A276" t="s">
        <v>4452</v>
      </c>
      <c r="B276" t="s">
        <v>4453</v>
      </c>
      <c r="C276" t="s">
        <v>3948</v>
      </c>
      <c r="D276" t="s">
        <v>1715</v>
      </c>
      <c r="E276">
        <v>145</v>
      </c>
      <c r="F276" t="b">
        <v>0</v>
      </c>
      <c r="G276" t="str">
        <f>HYPERLINK("https://www.google.com/maps/search/?api=1&amp;query=25.38316994,44.43295805", "View Map")</f>
        <v>View Map</v>
      </c>
    </row>
  </sheetData>
  <pageMargins left="0.75" right="0.75" top="1" bottom="1" header="0.5" footer="0.5"/>
  <headerFooter>
    <oddFooter>&amp;C_x000D_&amp;1#&amp;"Calibri"&amp;10&amp;K0000FF Restricted - مقيد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الرياض</vt:lpstr>
      <vt:lpstr>جنوب الرياض</vt:lpstr>
      <vt:lpstr>شمال الرياض</vt:lpstr>
      <vt:lpstr>غرب الرياض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Alosaimi, Nawaf K</cp:lastModifiedBy>
  <dcterms:created xsi:type="dcterms:W3CDTF">2025-06-29T16:49:36Z</dcterms:created>
  <dcterms:modified xsi:type="dcterms:W3CDTF">2025-11-20T04:42:37Z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662555-8342-48a1-91df-60b8ada0890e_Enabled">
    <vt:lpwstr>true</vt:lpwstr>
  </property>
  <property fmtid="{D5CDD505-2E9C-101B-9397-08002B2CF9AE}" pid="3" name="MSIP_Label_3c662555-8342-48a1-91df-60b8ada0890e_SetDate">
    <vt:lpwstr>2025-06-29T16:50:28Z</vt:lpwstr>
  </property>
  <property fmtid="{D5CDD505-2E9C-101B-9397-08002B2CF9AE}" pid="4" name="MSIP_Label_3c662555-8342-48a1-91df-60b8ada0890e_Method">
    <vt:lpwstr>Standard</vt:lpwstr>
  </property>
  <property fmtid="{D5CDD505-2E9C-101B-9397-08002B2CF9AE}" pid="5" name="MSIP_Label_3c662555-8342-48a1-91df-60b8ada0890e_Name">
    <vt:lpwstr>مقيد - Restricted</vt:lpwstr>
  </property>
  <property fmtid="{D5CDD505-2E9C-101B-9397-08002B2CF9AE}" pid="6" name="MSIP_Label_3c662555-8342-48a1-91df-60b8ada0890e_SiteId">
    <vt:lpwstr>cee277c8-9ceb-4b05-95ef-59d45630412c</vt:lpwstr>
  </property>
  <property fmtid="{D5CDD505-2E9C-101B-9397-08002B2CF9AE}" pid="7" name="MSIP_Label_3c662555-8342-48a1-91df-60b8ada0890e_ActionId">
    <vt:lpwstr>866f3f83-e279-45ae-9298-61f3318781b3</vt:lpwstr>
  </property>
  <property fmtid="{D5CDD505-2E9C-101B-9397-08002B2CF9AE}" pid="8" name="MSIP_Label_3c662555-8342-48a1-91df-60b8ada0890e_ContentBits">
    <vt:lpwstr>2</vt:lpwstr>
  </property>
  <property fmtid="{D5CDD505-2E9C-101B-9397-08002B2CF9AE}" pid="9" name="MSIP_Label_3c662555-8342-48a1-91df-60b8ada0890e_Tag">
    <vt:lpwstr>10, 3, 0, 1</vt:lpwstr>
  </property>
</Properties>
</file>